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13"/>
  <workbookPr defaultThemeVersion="166925"/>
  <mc:AlternateContent xmlns:mc="http://schemas.openxmlformats.org/markup-compatibility/2006">
    <mc:Choice Requires="x15">
      <x15ac:absPath xmlns:x15ac="http://schemas.microsoft.com/office/spreadsheetml/2010/11/ac" url="https://net4s.sharepoint.com/sites/NLCSNetbeheerStedinenAlliander/Gedeelde documenten/Uitwisseling Documenten/InformatiemodelNetbeheerV11/"/>
    </mc:Choice>
  </mc:AlternateContent>
  <xr:revisionPtr revIDLastSave="211" documentId="13_ncr:1_{182A2623-1938-4DED-B7A7-909F8A818475}" xr6:coauthVersionLast="47" xr6:coauthVersionMax="47" xr10:uidLastSave="{2289C948-6EFD-4FC8-9BDC-0FEC3DD3DDFA}"/>
  <bookViews>
    <workbookView xWindow="-28920" yWindow="-120" windowWidth="29040" windowHeight="15720" activeTab="1" xr2:uid="{BE6DC29A-515D-4D69-AD74-26910037D51F}"/>
  </bookViews>
  <sheets>
    <sheet name="Voorstel" sheetId="1" r:id="rId1"/>
    <sheet name="termen status-bewerkingen" sheetId="3" r:id="rId2"/>
    <sheet name="Statusbenamingen" sheetId="4"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26" i="3" l="1"/>
  <c r="Q38" i="1"/>
  <c r="R38" i="1" s="1"/>
  <c r="Q31" i="1"/>
  <c r="P31" i="1" s="1"/>
  <c r="Q26" i="1"/>
  <c r="R26" i="1" s="1"/>
  <c r="F27" i="1"/>
  <c r="F28" i="1"/>
  <c r="F29" i="1"/>
  <c r="F30" i="1"/>
  <c r="F26" i="1"/>
  <c r="J29" i="1"/>
  <c r="J28" i="1"/>
  <c r="J27" i="1"/>
  <c r="J26" i="1"/>
  <c r="K26" i="1" s="1"/>
  <c r="E30" i="1"/>
  <c r="E29" i="1"/>
  <c r="E28" i="1"/>
  <c r="E27" i="1"/>
  <c r="E26" i="1"/>
  <c r="L38" i="1"/>
  <c r="I38" i="1" s="1"/>
  <c r="L40" i="1"/>
  <c r="I30" i="1"/>
  <c r="K31" i="1"/>
  <c r="R29" i="1"/>
  <c r="R30" i="1"/>
  <c r="R34" i="1"/>
  <c r="R35" i="1"/>
  <c r="R36" i="1"/>
  <c r="P29" i="1"/>
  <c r="P30" i="1"/>
  <c r="P34" i="1"/>
  <c r="P35" i="1"/>
  <c r="P36" i="1"/>
  <c r="P38" i="1"/>
  <c r="P26" i="1"/>
  <c r="L35" i="1"/>
  <c r="L34" i="1"/>
  <c r="L29" i="1"/>
  <c r="L28" i="1"/>
  <c r="L27" i="1"/>
  <c r="L37" i="1"/>
  <c r="K38" i="1"/>
  <c r="L36" i="1"/>
  <c r="C12" i="1"/>
  <c r="I40" i="1" s="1"/>
  <c r="C11" i="1"/>
  <c r="Q27" i="1" s="1"/>
  <c r="M43" i="1"/>
  <c r="M42" i="1"/>
  <c r="K24" i="3"/>
  <c r="K25" i="3"/>
  <c r="K27" i="3"/>
  <c r="K28" i="3"/>
  <c r="K29" i="3"/>
  <c r="K30" i="3"/>
  <c r="K31" i="3"/>
  <c r="K23" i="3"/>
  <c r="R31" i="1" l="1"/>
  <c r="K27" i="1"/>
  <c r="K28" i="1"/>
  <c r="I29" i="1"/>
  <c r="I26" i="1"/>
  <c r="T38" i="1"/>
  <c r="T36" i="1"/>
  <c r="T35" i="1"/>
  <c r="T31" i="1"/>
  <c r="Q40" i="1"/>
  <c r="P40" i="1" s="1"/>
  <c r="P27" i="1"/>
  <c r="I31" i="1"/>
  <c r="M31" i="1" s="1"/>
  <c r="T30" i="1"/>
  <c r="I28" i="1"/>
  <c r="M28" i="1" s="1"/>
  <c r="E35" i="1"/>
  <c r="F35" i="1" s="1"/>
  <c r="E36" i="1"/>
  <c r="F36" i="1" s="1"/>
  <c r="E37" i="1"/>
  <c r="F37" i="1" s="1"/>
  <c r="Q42" i="1"/>
  <c r="T42" i="1" s="1"/>
  <c r="T26" i="1"/>
  <c r="T29" i="1"/>
  <c r="T34" i="1"/>
  <c r="M26" i="1"/>
  <c r="R27" i="1"/>
  <c r="M38" i="1"/>
  <c r="I27" i="1"/>
  <c r="M27" i="1" s="1"/>
  <c r="J35" i="1"/>
  <c r="K35" i="1" s="1"/>
  <c r="Q37" i="1"/>
  <c r="K29" i="1"/>
  <c r="M29" i="1" s="1"/>
  <c r="K30" i="1"/>
  <c r="M30" i="1" s="1"/>
  <c r="J36" i="1"/>
  <c r="I36" i="1" s="1"/>
  <c r="Q28" i="1"/>
  <c r="J37" i="1"/>
  <c r="I37" i="1" s="1"/>
  <c r="K40" i="1"/>
  <c r="M40" i="1" s="1"/>
  <c r="E34" i="1"/>
  <c r="F43" i="1"/>
  <c r="F42" i="1"/>
  <c r="R40" i="1" l="1"/>
  <c r="T40" i="1" s="1"/>
  <c r="T27" i="1"/>
  <c r="R28" i="1"/>
  <c r="P28" i="1"/>
  <c r="P37" i="1"/>
  <c r="R37" i="1"/>
  <c r="I35" i="1"/>
  <c r="M35" i="1" s="1"/>
  <c r="K37" i="1"/>
  <c r="M37" i="1" s="1"/>
  <c r="K36" i="1"/>
  <c r="M36" i="1" s="1"/>
  <c r="J34" i="1"/>
  <c r="I34" i="1" s="1"/>
  <c r="F34" i="1"/>
  <c r="T28" i="1" l="1"/>
  <c r="T37" i="1"/>
  <c r="K34" i="1"/>
  <c r="M34" i="1"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Dimitry Dekker</author>
    <author>tc={9C29BFE1-8443-4A39-ADFC-402F83290C5B}</author>
  </authors>
  <commentList>
    <comment ref="B1" authorId="0" shapeId="0" xr:uid="{EC001D19-E3F2-4DA6-BB2C-830B977F74C7}">
      <text>
        <r>
          <rPr>
            <b/>
            <sz val="9"/>
            <color indexed="81"/>
            <rFont val="Tahoma"/>
            <family val="2"/>
          </rPr>
          <t>Dimitry Dekker:</t>
        </r>
        <r>
          <rPr>
            <sz val="9"/>
            <color indexed="81"/>
            <rFont val="Tahoma"/>
            <family val="2"/>
          </rPr>
          <t xml:space="preserve">
Dit is nu een mix van GIS statussen en aanduidingen in de tekening (eigenlijk Bewerkingen)</t>
        </r>
      </text>
    </comment>
    <comment ref="G23" authorId="1" shapeId="0" xr:uid="{9C29BFE1-8443-4A39-ADFC-402F83290C5B}">
      <text>
        <t>[Threaded comment]
Your version of Excel allows you to read this threaded comment; however, any edits to it will get removed if the file is opened in a newer version of Excel. Learn more: https://go.microsoft.com/fwlink/?linkid=870924
Comment:
    Wanneer wordt deze status door een GIS operator ingesteld</t>
      </text>
    </comment>
  </commentList>
</comments>
</file>

<file path=xl/sharedStrings.xml><?xml version="1.0" encoding="utf-8"?>
<sst xmlns="http://schemas.openxmlformats.org/spreadsheetml/2006/main" count="315" uniqueCount="182">
  <si>
    <t>standaard NLCS statussen</t>
  </si>
  <si>
    <t>voorstel NLCS netbeheer substatusssen</t>
  </si>
  <si>
    <t>NLCS netbeheer bewerkingen</t>
  </si>
  <si>
    <t>B</t>
  </si>
  <si>
    <t>In Bedrijf</t>
  </si>
  <si>
    <t>N</t>
  </si>
  <si>
    <t>Nieuw</t>
  </si>
  <si>
    <t>positie substatus (nu 01-99) uitbreiden met mogelijkheid afkorting in 2 letters</t>
  </si>
  <si>
    <t>R</t>
  </si>
  <si>
    <t>gebruik van positie bewerking blijven gebruiken voor bewerking. Terminologie vastleggen voor netbeheer</t>
  </si>
  <si>
    <t>T</t>
  </si>
  <si>
    <t>V</t>
  </si>
  <si>
    <t>Verwijderd</t>
  </si>
  <si>
    <t>teken BEDRIJFSTOESTAND</t>
  </si>
  <si>
    <t>(</t>
  </si>
  <si>
    <t>)</t>
  </si>
  <si>
    <t>VERLATEN</t>
  </si>
  <si>
    <t>RESERVE</t>
  </si>
  <si>
    <t>(IN BEDRIJF)</t>
  </si>
  <si>
    <t>IN BEDRIJF NEMEN</t>
  </si>
  <si>
    <t>RESERVE STELLEN</t>
  </si>
  <si>
    <t>VERLATEN STELLEN</t>
  </si>
  <si>
    <t>RELINEN</t>
  </si>
  <si>
    <t>OPVULLEN</t>
  </si>
  <si>
    <t>VERPLAATSEN</t>
  </si>
  <si>
    <t>TE VERWIJDEREN</t>
  </si>
  <si>
    <t>voorbeeld NLCS object leiding</t>
  </si>
  <si>
    <t>OI-KL-GAS_LD_DISTRIBUTIE_100 MBAR_NGIJ_118</t>
  </si>
  <si>
    <t>voorbeeld NLCS object kabel</t>
  </si>
  <si>
    <t>OI-KL-ET_MS_DISTRIBUTIE_6 kV_3x95Cu</t>
  </si>
  <si>
    <t>voorbeeld elementcode</t>
  </si>
  <si>
    <t>-G</t>
  </si>
  <si>
    <t>-</t>
  </si>
  <si>
    <t>Startsituatie</t>
  </si>
  <si>
    <t>plantekening</t>
  </si>
  <si>
    <t>revisietekening</t>
  </si>
  <si>
    <t>Eindsituatie</t>
  </si>
  <si>
    <t>NLCS status</t>
  </si>
  <si>
    <t>NLCS netbeheer Bedrijfstoestand</t>
  </si>
  <si>
    <t>voorbeeld NLCS laagnaam</t>
  </si>
  <si>
    <t>Bewerking</t>
  </si>
  <si>
    <t>Bestaand, in Bedrijf</t>
  </si>
  <si>
    <t>Bestaand, verlaten</t>
  </si>
  <si>
    <t>Bestaand, reserve</t>
  </si>
  <si>
    <t>Bestaand, Verplaatsen</t>
  </si>
  <si>
    <t>B-OI-KL-ET-VERPLAATSEN-G</t>
  </si>
  <si>
    <t>N-OI-KL-ET-VERPLAATSEN-G</t>
  </si>
  <si>
    <t>Nieuw, in Bedrijf</t>
  </si>
  <si>
    <t>Nieuw, Verlaten</t>
  </si>
  <si>
    <t>Nieuw, Nieuw Reserve</t>
  </si>
  <si>
    <t>Bestaand, opgevuld</t>
  </si>
  <si>
    <t>Bestaand, gerelined</t>
  </si>
  <si>
    <t>R-OI-KL-GAS_LD_DISTRIBUTIE_100 MBAR_KOUSIJZER_118-G</t>
  </si>
  <si>
    <t>NB: de term Verlaten (zie ook de tab met Statusbenamingen) wordt bij de netbeheerders ook vaak aangeduid als "Buiten Bedrijf". "Verlaten" betekent dat de asset niet meer wordt hergebruikt.</t>
  </si>
  <si>
    <t>Belangrijk:</t>
  </si>
  <si>
    <t xml:space="preserve">De NLCS Statussen Nieuw en Verwijderd zijn expliciet bedoeld om objecten te markeren die in het project worden toegevoegd (NIEUW) of Verwijderd/uitgenomen (VERWIJDERD). </t>
  </si>
  <si>
    <t>Er zijn GEEN bewerkingen opgenomen voor deze handelingen, omdat daarmee een dubbele administratie kan ontstaat die strijdig is met de uitgangspunten voor NLCS</t>
  </si>
  <si>
    <t>De NLCS status R zal zeer waarschijnlijk worden vervangen door de status G(ewijzigd) om in een As-built tekening te documenteren dat een bestaand object is aangepast.</t>
  </si>
  <si>
    <t>NLCS zal worden uitgebreid met Bedrijfstoestand. De aanduiding hiervoor kan "RESERVE", "VERLATEN" bevatten en komt aan het einde van de laagnaam, vlak voor de Bewerking en Geometrietype.</t>
  </si>
  <si>
    <t>Bedrijfstoestand is dus te onderscheiden in de laagnaam met de underscore _  die ervoor staat. Staat er een minteken voor - dan betreft het een bewerking</t>
  </si>
  <si>
    <t>Objecttype-Bedrijfstoestand_Bewerking-G</t>
  </si>
  <si>
    <t>Status NLCS</t>
  </si>
  <si>
    <t>van beschrijving "SITUATIE" naar "ASSET-eigenschap"</t>
  </si>
  <si>
    <t>BEWERKINGEN</t>
  </si>
  <si>
    <t xml:space="preserve">Probleem: Bewerkingen wordt niet uitgelegd in de Formele Beschrijving </t>
  </si>
  <si>
    <t>Basisstructuur NLCS Netbeheer</t>
  </si>
  <si>
    <t>-()_</t>
  </si>
  <si>
    <t>-{}_</t>
  </si>
  <si>
    <t>IN GEBRUIK &gt; wordt niet uitgeschreven. Regel zonder toevoeging betekend in gebruik</t>
  </si>
  <si>
    <t>Stedin Terminologie</t>
  </si>
  <si>
    <t>Liander Terminologie</t>
  </si>
  <si>
    <t>Enexis</t>
  </si>
  <si>
    <t>Brabant Water</t>
  </si>
  <si>
    <t>Vitens</t>
  </si>
  <si>
    <t>Statusbenaming informatiemodel</t>
  </si>
  <si>
    <t>NLCS Status</t>
  </si>
  <si>
    <t>Opmerking</t>
  </si>
  <si>
    <t>VOLSCHUIMEN</t>
  </si>
  <si>
    <t>DEMPEN</t>
  </si>
  <si>
    <t xml:space="preserve">Onderscheid maken in </t>
  </si>
  <si>
    <t>Operatie status,Acties = Ontwerp / TODO,RegistratieStatus</t>
  </si>
  <si>
    <t>NIEUW TE LEGGEN</t>
  </si>
  <si>
    <t>Nieuw te leggen/plaatsen</t>
  </si>
  <si>
    <t>gepland</t>
  </si>
  <si>
    <t>ROOIEN</t>
  </si>
  <si>
    <t>?? Uit te nemen</t>
  </si>
  <si>
    <t>te verwijderen</t>
  </si>
  <si>
    <t>TE ROOIEN</t>
  </si>
  <si>
    <t>?? Te relinen</t>
  </si>
  <si>
    <t>RIJZEN</t>
  </si>
  <si>
    <t>VERPLAATSEN (voorbeeld OV) &amp; OMKLAPPEN</t>
  </si>
  <si>
    <t>Om te leggen &amp; Na te verleggen</t>
  </si>
  <si>
    <t>DÄMMEREN</t>
  </si>
  <si>
    <t>buiten bedrijf gedemmerd</t>
  </si>
  <si>
    <t>TE DÄMMEREN</t>
  </si>
  <si>
    <t>OPNEMEN</t>
  </si>
  <si>
    <t>BUITEN BEDRIJF &amp; BB</t>
  </si>
  <si>
    <t>Buitenbedrijf te stellen</t>
  </si>
  <si>
    <t>buiten bedrijf schroot</t>
  </si>
  <si>
    <t>BUITEN GEBRUIK TE STELLEN</t>
  </si>
  <si>
    <t>?BB</t>
  </si>
  <si>
    <t>IN BEDRIJF &amp; IB</t>
  </si>
  <si>
    <t>In bedrijf te stellen</t>
  </si>
  <si>
    <t>in bedrijf te nemen</t>
  </si>
  <si>
    <t>?IB of enkel ?</t>
  </si>
  <si>
    <t>IG NEMEN</t>
  </si>
  <si>
    <t>buiten bedrijf te stellen</t>
  </si>
  <si>
    <t>VERVALLEN LEIDING</t>
  </si>
  <si>
    <t>Te vervangen</t>
  </si>
  <si>
    <t>TE VERVANGEN LEIDING</t>
  </si>
  <si>
    <t>Kiezen voor Verwijderen en Nieuw als workflow</t>
  </si>
  <si>
    <t>?? Te verlaten</t>
  </si>
  <si>
    <t>gelijk aan buiten bedrijf stellen</t>
  </si>
  <si>
    <t>HERBRUIKBAAR</t>
  </si>
  <si>
    <t>reserve</t>
  </si>
  <si>
    <t>buiten bedrijf</t>
  </si>
  <si>
    <t>bestaande leiding wordt mantelbuis</t>
  </si>
  <si>
    <t>Uitgenomen</t>
  </si>
  <si>
    <t>in bedrijf</t>
  </si>
  <si>
    <t xml:space="preserve">STEDIN EO </t>
  </si>
  <si>
    <t>Beschrijving AM</t>
  </si>
  <si>
    <t>definitie</t>
  </si>
  <si>
    <t>NLCS Bewerking</t>
  </si>
  <si>
    <t>Voorbeeld NLCS Laag - Plantekening voor Export EO</t>
  </si>
  <si>
    <t>Aangelegd</t>
  </si>
  <si>
    <t>Aangelegd maar nog niet in gebruik. Komt voor bij deelopleveringen van o.a. kabelverbindingen.</t>
  </si>
  <si>
    <t>nieuw aangelegde asset buiten bedrijf</t>
  </si>
  <si>
    <t>RVL</t>
  </si>
  <si>
    <t>Geplande aanleg</t>
  </si>
  <si>
    <t>Ontwerp nieuwe aanleg</t>
  </si>
  <si>
    <t>nieuw fysieke asset</t>
  </si>
  <si>
    <t>Geplande verlating</t>
  </si>
  <si>
    <t>Ontwerp bestaande te gaan verlaten</t>
  </si>
  <si>
    <t>bestaande asset buiten bedrijf te stellen</t>
  </si>
  <si>
    <t>Geplande verplaatsing</t>
  </si>
  <si>
    <t>Ontwerp om o.a. bestaande te verplaatsen of op te halen (diepte correctie)</t>
  </si>
  <si>
    <t>bestaande asset naar nieuwe locatie verplaatsen</t>
  </si>
  <si>
    <t>Geplande vervanging</t>
  </si>
  <si>
    <t>Ontwerp om asset te gaan verwijderen en nieuwe asset te plaatsen</t>
  </si>
  <si>
    <t>bestaande asset in gebruik, opnemen asset en nieuw asset plaatsen</t>
  </si>
  <si>
    <t>VERVANGEN</t>
  </si>
  <si>
    <t>Geplande verwijdering</t>
  </si>
  <si>
    <t>Ontwerp om te gaat verwijderen</t>
  </si>
  <si>
    <t>bestaande asset in gebruik, toekomstige verwijdering</t>
  </si>
  <si>
    <t>VERWIJDEREN</t>
  </si>
  <si>
    <t>In gebruik</t>
  </si>
  <si>
    <t>Aangelegd en in gebruik genomen</t>
  </si>
  <si>
    <t>bestaande asset in gebruik</t>
  </si>
  <si>
    <t>Verlaten</t>
  </si>
  <si>
    <t>Verlaten en dus niet verwijderd</t>
  </si>
  <si>
    <t>bestaande asset, fysiek aanwezig, buiten gebruik</t>
  </si>
  <si>
    <t>BVL</t>
  </si>
  <si>
    <t>Fysiek verwijderd / geen eigendom meer van Stedin</t>
  </si>
  <si>
    <t>asset fysiek niet aanwezig, aanduiding oorspronkelijke ligging</t>
  </si>
  <si>
    <t>VVL</t>
  </si>
  <si>
    <t>NLCS Bedrijfstoestand</t>
  </si>
  <si>
    <t>NLCS  informatiemodel status</t>
  </si>
  <si>
    <t>Definitie</t>
  </si>
  <si>
    <t>IN BEDRIJF</t>
  </si>
  <si>
    <t>BESTAAND</t>
  </si>
  <si>
    <t>Bestaande asset: deze asset is reeds aanwezig voordat het project start</t>
  </si>
  <si>
    <t>Bestaande asset, reserve: de asset is reeds aanwezig voorafgaand aan het project, is niet in gebruik, maar kan wel in gebruik worden genomen</t>
  </si>
  <si>
    <t>Bestaande asset, Verlaten: de asset is reeds aanwezig voorafgaand aan het project, is niet in gebruik en kan niet meer in gebruik worden genomen</t>
  </si>
  <si>
    <t>NIEUW</t>
  </si>
  <si>
    <t>Nieuwe asset: de asset wordt gedurende het project toegevoegd/geïnstalleerd</t>
  </si>
  <si>
    <t>Nieuwe asset: de asset wordt gedurende het project toegevoegd/geïnstalleerd, maar wordt nog niet in gebruik genomen.</t>
  </si>
  <si>
    <t>REVISIE</t>
  </si>
  <si>
    <t>Revisie: deze asset is gedurende het project aangepast (alfanumeriek en/of geografisch)</t>
  </si>
  <si>
    <t>Revisie: deze asset is gedurende het project aangepast (alfanumeriek en/of geografisch) en deze asset is na het project niet meer in gebruik en kan ook niet meer in gebruik worden genomen.</t>
  </si>
  <si>
    <t>Revisie: deze asset is gedurende het project aangepast (alfanumeriek en/of geografisch) en deze asset is na het project (nog) niet in gebruik, maar kan wel in gebruik worden genomen.</t>
  </si>
  <si>
    <t>TIJDELIJK</t>
  </si>
  <si>
    <t xml:space="preserve">Deze status komt alleen voor in een Ontwerptekening en een deelrevisie, niet in een As-built eindrevisietekening en wordt gebruikt voor assets of objecten die alleen bestaan en in bedrijf zijn gedurende het project </t>
  </si>
  <si>
    <t>Deze status komt alleen voor in een Ontwerptekening en een deelrevisie, niet in een As-built eindrevisietekening en wordt gebruikt voor assets of objecten die alleen bestaan gedurende het project. De bedrijfstoestand RESERVE is van toepassing wanneer de asset niet in bedrijf is maar wel in bedrijf kan worden genomen.</t>
  </si>
  <si>
    <t>VERWIJDERD</t>
  </si>
  <si>
    <t>Verwijderd (soms ook aangeduid met Vervallen): de asset is tijdens het project fysiek verwijderd, bijvoorbeeld uit de grond gehaald.</t>
  </si>
  <si>
    <t>De asset wordt tijdens het project verlaten, hetgeen betekent dat de asset daarna nooit meer kan worden gebruikt. De asset blijft fysiek op locatie aanwezig. Deze Bewerking wordt NIET gekozen indien een leiding wordt opgevuld, want daarvoor is een meer specifieke Bewerking "Opvullen" beschikbaar</t>
  </si>
  <si>
    <t>De asset was al aanwezig voorafgaand aan het project en wordt gedurende het project in gebruik genomen, bijvoorbeeld onder druk gezet of onder spanning gebracht.</t>
  </si>
  <si>
    <t xml:space="preserve">De asset wordt tijdens het project:
1. Indien bestaand object: uit gebruik genomen, maar kan in de toekomst weer in gebruik worden genomen
2. Indien Nieuw object: wel geplaatst, maar (nog) niet in gebruik genomen. Dat kan later alsnog worden gedaan. </t>
  </si>
  <si>
    <t xml:space="preserve">Alleen van toepassing op leidingen, niet op kabels: er wordt een techniek toegepast om een oude leiding langer te kunnen gebruiken door deze van een nieuwe binnenwand te voorzien. </t>
  </si>
  <si>
    <t>Alleen van toepassing op leidingen, niet op kabels: dit is een manier van verlaten (Buiten Bedrijf stellen): de leiding wordt opgevuld (volschuimen, dämmeren etc) en wordt daarmee voorgoed buiten bedrijf gesteld.</t>
  </si>
  <si>
    <t xml:space="preserve">Een bestaande asset moet naar een andere locatie worden verplaatst (omgelegd, omgeklapt, rijzen etc), maar behoudt zijn asset eigenschappen. </t>
  </si>
  <si>
    <t>Een bestaande asset uit de grond worden verwijderd en bestaat dus niet meer na afloop van het project.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</si>
</sst>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font>
      <sz val="11"/>
      <color theme="1"/>
      <name val="Calibri"/>
      <family val="2"/>
      <scheme val="minor"/>
    </font>
    <font>
      <sz val="11"/>
      <color theme="1"/>
      <name val="Calibri"/>
      <family val="2"/>
      <scheme val="minor"/>
    </font>
    <font>
      <sz val="11"/>
      <color rgb="FF006100"/>
      <name val="Calibri"/>
      <family val="2"/>
      <scheme val="minor"/>
    </font>
    <font>
      <sz val="11"/>
      <color rgb="FF9C5700"/>
      <name val="Calibri"/>
      <family val="2"/>
      <scheme val="minor"/>
    </font>
    <font>
      <sz val="11"/>
      <color rgb="FF3F3F76"/>
      <name val="Calibri"/>
      <family val="2"/>
      <scheme val="minor"/>
    </font>
    <font>
      <b/>
      <sz val="11"/>
      <color theme="1"/>
      <name val="Calibri"/>
      <family val="2"/>
      <scheme val="minor"/>
    </font>
    <font>
      <b/>
      <sz val="10"/>
      <color theme="1"/>
      <name val="Calibri"/>
      <family val="2"/>
      <scheme val="minor"/>
    </font>
    <font>
      <sz val="10"/>
      <color theme="1"/>
      <name val="Calibri"/>
      <family val="2"/>
      <scheme val="minor"/>
    </font>
    <font>
      <i/>
      <sz val="10"/>
      <color theme="1"/>
      <name val="Calibri"/>
      <family val="2"/>
      <scheme val="minor"/>
    </font>
    <font>
      <sz val="10"/>
      <color rgb="FF9C5700"/>
      <name val="Calibri"/>
      <family val="2"/>
      <scheme val="minor"/>
    </font>
    <font>
      <sz val="10"/>
      <color rgb="FF006100"/>
      <name val="Calibri"/>
      <family val="2"/>
      <scheme val="minor"/>
    </font>
    <font>
      <b/>
      <i/>
      <sz val="10"/>
      <color theme="1"/>
      <name val="Calibri"/>
      <family val="2"/>
      <scheme val="minor"/>
    </font>
    <font>
      <sz val="10"/>
      <color rgb="FF3F3F76"/>
      <name val="Calibri"/>
      <family val="2"/>
      <scheme val="minor"/>
    </font>
    <font>
      <sz val="9"/>
      <color indexed="81"/>
      <name val="Tahoma"/>
      <family val="2"/>
    </font>
    <font>
      <b/>
      <sz val="9"/>
      <color indexed="81"/>
      <name val="Tahoma"/>
      <family val="2"/>
    </font>
    <font>
      <b/>
      <sz val="10"/>
      <color theme="1"/>
      <name val="Arial"/>
      <family val="2"/>
    </font>
    <font>
      <sz val="10"/>
      <color theme="1"/>
      <name val="Arial"/>
      <family val="2"/>
    </font>
    <font>
      <b/>
      <sz val="10"/>
      <color rgb="FFFF0000"/>
      <name val="Calibri"/>
      <family val="2"/>
      <scheme val="minor"/>
    </font>
    <font>
      <sz val="10"/>
      <color theme="0" tint="-0.34998626667073579"/>
      <name val="Calibri"/>
      <family val="2"/>
      <scheme val="minor"/>
    </font>
    <font>
      <sz val="10"/>
      <name val="Calibri"/>
      <family val="2"/>
      <scheme val="minor"/>
    </font>
    <font>
      <sz val="10"/>
      <color theme="1"/>
      <name val="Arial"/>
    </font>
  </fonts>
  <fills count="9">
    <fill>
      <patternFill patternType="none"/>
    </fill>
    <fill>
      <patternFill patternType="gray125"/>
    </fill>
    <fill>
      <patternFill patternType="solid">
        <fgColor rgb="FFC6EFCE"/>
      </patternFill>
    </fill>
    <fill>
      <patternFill patternType="solid">
        <fgColor rgb="FFFFEB9C"/>
      </patternFill>
    </fill>
    <fill>
      <patternFill patternType="solid">
        <fgColor rgb="FFFFCC99"/>
      </patternFill>
    </fill>
    <fill>
      <patternFill patternType="solid">
        <fgColor rgb="FFFFFFCC"/>
      </patternFill>
    </fill>
    <fill>
      <patternFill patternType="solid">
        <fgColor theme="0" tint="-0.14999847407452621"/>
        <bgColor indexed="64"/>
      </patternFill>
    </fill>
    <fill>
      <patternFill patternType="solid">
        <fgColor rgb="FFFFFF00"/>
        <bgColor indexed="64"/>
      </patternFill>
    </fill>
    <fill>
      <patternFill patternType="solid">
        <fgColor theme="0" tint="-4.9989318521683403E-2"/>
        <bgColor indexed="64"/>
      </patternFill>
    </fill>
  </fills>
  <borders count="52">
    <border>
      <left/>
      <right/>
      <top/>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
      <left/>
      <right/>
      <top/>
      <bottom style="double">
        <color indexed="64"/>
      </bottom>
      <diagonal/>
    </border>
    <border>
      <left style="thin">
        <color rgb="FFB2B2B2"/>
      </left>
      <right style="thin">
        <color rgb="FFB2B2B2"/>
      </right>
      <top/>
      <bottom style="thin">
        <color rgb="FFB2B2B2"/>
      </bottom>
      <diagonal/>
    </border>
    <border>
      <left style="thin">
        <color rgb="FFB2B2B2"/>
      </left>
      <right style="thin">
        <color rgb="FFB2B2B2"/>
      </right>
      <top style="thin">
        <color rgb="FFB2B2B2"/>
      </top>
      <bottom style="double">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top style="medium">
        <color indexed="64"/>
      </top>
      <bottom style="thin">
        <color indexed="64"/>
      </bottom>
      <diagonal/>
    </border>
    <border>
      <left style="thin">
        <color indexed="64"/>
      </left>
      <right/>
      <top style="thin">
        <color indexed="64"/>
      </top>
      <bottom style="medium">
        <color indexed="64"/>
      </bottom>
      <diagonal/>
    </border>
    <border>
      <left/>
      <right style="thin">
        <color indexed="64"/>
      </right>
      <top style="thin">
        <color indexed="64"/>
      </top>
      <bottom/>
      <diagonal/>
    </border>
    <border>
      <left/>
      <right/>
      <top style="thin">
        <color indexed="64"/>
      </top>
      <bottom/>
      <diagonal/>
    </border>
    <border>
      <left style="thin">
        <color rgb="FFB2B2B2"/>
      </left>
      <right style="thin">
        <color rgb="FFB2B2B2"/>
      </right>
      <top style="thin">
        <color indexed="64"/>
      </top>
      <bottom style="thin">
        <color rgb="FFB2B2B2"/>
      </bottom>
      <diagonal/>
    </border>
    <border>
      <left style="medium">
        <color indexed="64"/>
      </left>
      <right/>
      <top style="medium">
        <color indexed="64"/>
      </top>
      <bottom/>
      <diagonal/>
    </border>
    <border>
      <left/>
      <right/>
      <top style="medium">
        <color indexed="64"/>
      </top>
      <bottom/>
      <diagonal/>
    </border>
    <border>
      <left/>
      <right style="medium">
        <color indexed="64"/>
      </right>
      <top/>
      <bottom/>
      <diagonal/>
    </border>
    <border>
      <left style="medium">
        <color indexed="64"/>
      </left>
      <right style="thin">
        <color indexed="64"/>
      </right>
      <top/>
      <bottom/>
      <diagonal/>
    </border>
    <border>
      <left/>
      <right style="medium">
        <color indexed="64"/>
      </right>
      <top style="thin">
        <color indexed="64"/>
      </top>
      <bottom/>
      <diagonal/>
    </border>
    <border>
      <left/>
      <right style="medium">
        <color indexed="64"/>
      </right>
      <top/>
      <bottom style="thin">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thin">
        <color indexed="64"/>
      </top>
      <bottom/>
      <diagonal/>
    </border>
    <border>
      <left style="medium">
        <color indexed="64"/>
      </left>
      <right style="thin">
        <color indexed="64"/>
      </right>
      <top/>
      <bottom style="medium">
        <color indexed="64"/>
      </bottom>
      <diagonal/>
    </border>
    <border>
      <left/>
      <right/>
      <top/>
      <bottom style="medium">
        <color indexed="64"/>
      </bottom>
      <diagonal/>
    </border>
    <border>
      <left/>
      <right style="thin">
        <color indexed="64"/>
      </right>
      <top/>
      <bottom style="medium">
        <color indexed="64"/>
      </bottom>
      <diagonal/>
    </border>
    <border>
      <left/>
      <right style="medium">
        <color indexed="64"/>
      </right>
      <top/>
      <bottom style="medium">
        <color indexed="64"/>
      </bottom>
      <diagonal/>
    </border>
    <border>
      <left style="medium">
        <color indexed="64"/>
      </left>
      <right style="thin">
        <color indexed="64"/>
      </right>
      <top/>
      <bottom style="thin">
        <color indexed="64"/>
      </bottom>
      <diagonal/>
    </border>
    <border>
      <left style="thin">
        <color rgb="FF7F7F7F"/>
      </left>
      <right/>
      <top style="medium">
        <color indexed="64"/>
      </top>
      <bottom/>
      <diagonal/>
    </border>
    <border>
      <left/>
      <right style="thin">
        <color rgb="FF7F7F7F"/>
      </right>
      <top style="medium">
        <color indexed="64"/>
      </top>
      <bottom/>
      <diagonal/>
    </border>
    <border>
      <left style="thin">
        <color indexed="64"/>
      </left>
      <right/>
      <top style="medium">
        <color indexed="64"/>
      </top>
      <bottom/>
      <diagonal/>
    </border>
    <border>
      <left/>
      <right style="thin">
        <color indexed="64"/>
      </right>
      <top style="medium">
        <color indexed="64"/>
      </top>
      <bottom/>
      <diagonal/>
    </border>
    <border>
      <left/>
      <right style="medium">
        <color indexed="64"/>
      </right>
      <top style="medium">
        <color indexed="64"/>
      </top>
      <bottom/>
      <diagonal/>
    </border>
    <border>
      <left style="medium">
        <color indexed="64"/>
      </left>
      <right style="thin">
        <color indexed="64"/>
      </right>
      <top style="medium">
        <color indexed="64"/>
      </top>
      <bottom style="double">
        <color indexed="64"/>
      </bottom>
      <diagonal/>
    </border>
    <border>
      <left/>
      <right/>
      <top style="medium">
        <color indexed="64"/>
      </top>
      <bottom style="double">
        <color indexed="64"/>
      </bottom>
      <diagonal/>
    </border>
    <border>
      <left/>
      <right style="thin">
        <color indexed="64"/>
      </right>
      <top style="medium">
        <color indexed="64"/>
      </top>
      <bottom style="double">
        <color indexed="64"/>
      </bottom>
      <diagonal/>
    </border>
    <border>
      <left/>
      <right style="medium">
        <color indexed="64"/>
      </right>
      <top style="medium">
        <color indexed="64"/>
      </top>
      <bottom style="double">
        <color indexed="64"/>
      </bottom>
      <diagonal/>
    </border>
    <border>
      <left style="thin">
        <color indexed="64"/>
      </left>
      <right/>
      <top style="thin">
        <color indexed="64"/>
      </top>
      <bottom/>
      <diagonal/>
    </border>
    <border>
      <left style="thin">
        <color indexed="64"/>
      </left>
      <right/>
      <top/>
      <bottom style="thin">
        <color indexed="64"/>
      </bottom>
      <diagonal/>
    </border>
    <border>
      <left style="thin">
        <color indexed="64"/>
      </left>
      <right/>
      <top/>
      <bottom/>
      <diagonal/>
    </border>
    <border>
      <left style="medium">
        <color indexed="64"/>
      </left>
      <right/>
      <top/>
      <bottom/>
      <diagonal/>
    </border>
  </borders>
  <cellStyleXfs count="5">
    <xf numFmtId="0" fontId="0" fillId="0" borderId="0"/>
    <xf numFmtId="0" fontId="2" fillId="2" borderId="0" applyNumberFormat="0" applyBorder="0" applyAlignment="0" applyProtection="0"/>
    <xf numFmtId="0" fontId="3" fillId="3" borderId="0" applyNumberFormat="0" applyBorder="0" applyAlignment="0" applyProtection="0"/>
    <xf numFmtId="0" fontId="4" fillId="4" borderId="1" applyNumberFormat="0" applyAlignment="0" applyProtection="0"/>
    <xf numFmtId="0" fontId="1" fillId="5" borderId="2" applyNumberFormat="0" applyFont="0" applyAlignment="0" applyProtection="0"/>
  </cellStyleXfs>
  <cellXfs count="108">
    <xf numFmtId="0" fontId="0" fillId="0" borderId="0" xfId="0"/>
    <xf numFmtId="0" fontId="0" fillId="5" borderId="2" xfId="4" applyFont="1"/>
    <xf numFmtId="0" fontId="7" fillId="0" borderId="0" xfId="0" applyFont="1"/>
    <xf numFmtId="0" fontId="8" fillId="0" borderId="0" xfId="0" applyFont="1" applyAlignment="1">
      <alignment horizontal="right"/>
    </xf>
    <xf numFmtId="0" fontId="8" fillId="0" borderId="0" xfId="0" applyFont="1"/>
    <xf numFmtId="49" fontId="7" fillId="0" borderId="0" xfId="0" applyNumberFormat="1" applyFont="1"/>
    <xf numFmtId="0" fontId="0" fillId="5" borderId="4" xfId="4" applyFont="1" applyBorder="1"/>
    <xf numFmtId="0" fontId="5" fillId="5" borderId="5" xfId="4" applyFont="1" applyBorder="1"/>
    <xf numFmtId="0" fontId="0" fillId="0" borderId="3" xfId="0" applyBorder="1"/>
    <xf numFmtId="0" fontId="11" fillId="0" borderId="3" xfId="0" applyFont="1" applyBorder="1" applyAlignment="1">
      <alignment wrapText="1"/>
    </xf>
    <xf numFmtId="0" fontId="7" fillId="0" borderId="8" xfId="0" applyFont="1" applyBorder="1"/>
    <xf numFmtId="0" fontId="8" fillId="0" borderId="8" xfId="0" applyFont="1" applyBorder="1"/>
    <xf numFmtId="0" fontId="6" fillId="0" borderId="3" xfId="0" applyFont="1" applyBorder="1"/>
    <xf numFmtId="0" fontId="7" fillId="0" borderId="7" xfId="0" applyFont="1" applyBorder="1"/>
    <xf numFmtId="0" fontId="7" fillId="0" borderId="9" xfId="0" applyFont="1" applyBorder="1"/>
    <xf numFmtId="0" fontId="7" fillId="0" borderId="9" xfId="0" applyFont="1" applyBorder="1" applyAlignment="1">
      <alignment horizontal="center"/>
    </xf>
    <xf numFmtId="0" fontId="7" fillId="6" borderId="9" xfId="0" applyFont="1" applyFill="1" applyBorder="1"/>
    <xf numFmtId="0" fontId="12" fillId="4" borderId="1" xfId="3" applyFont="1"/>
    <xf numFmtId="0" fontId="0" fillId="7" borderId="0" xfId="0" applyFill="1"/>
    <xf numFmtId="0" fontId="7" fillId="0" borderId="3" xfId="0" applyFont="1" applyBorder="1"/>
    <xf numFmtId="0" fontId="5" fillId="0" borderId="3" xfId="0" applyFont="1" applyBorder="1"/>
    <xf numFmtId="0" fontId="2" fillId="2" borderId="0" xfId="1"/>
    <xf numFmtId="0" fontId="15" fillId="0" borderId="12" xfId="0" applyFont="1" applyBorder="1" applyAlignment="1">
      <alignment wrapText="1"/>
    </xf>
    <xf numFmtId="0" fontId="15" fillId="0" borderId="14" xfId="0" applyFont="1" applyBorder="1" applyAlignment="1">
      <alignment wrapText="1"/>
    </xf>
    <xf numFmtId="0" fontId="16" fillId="0" borderId="15" xfId="0" applyFont="1" applyBorder="1" applyAlignment="1">
      <alignment vertical="top"/>
    </xf>
    <xf numFmtId="0" fontId="16" fillId="0" borderId="11" xfId="0" applyFont="1" applyBorder="1" applyAlignment="1">
      <alignment vertical="top"/>
    </xf>
    <xf numFmtId="0" fontId="16" fillId="0" borderId="6" xfId="0" applyFont="1" applyBorder="1" applyAlignment="1">
      <alignment vertical="top"/>
    </xf>
    <xf numFmtId="0" fontId="16" fillId="0" borderId="15" xfId="0" applyFont="1" applyBorder="1" applyAlignment="1">
      <alignment horizontal="left" vertical="top"/>
    </xf>
    <xf numFmtId="0" fontId="16" fillId="0" borderId="17" xfId="0" applyFont="1" applyBorder="1" applyAlignment="1">
      <alignment vertical="top"/>
    </xf>
    <xf numFmtId="0" fontId="16" fillId="0" borderId="18" xfId="0" applyFont="1" applyBorder="1" applyAlignment="1">
      <alignment vertical="top"/>
    </xf>
    <xf numFmtId="0" fontId="16" fillId="0" borderId="21" xfId="0" applyFont="1" applyBorder="1" applyAlignment="1">
      <alignment vertical="top"/>
    </xf>
    <xf numFmtId="0" fontId="16" fillId="0" borderId="0" xfId="0" applyFont="1"/>
    <xf numFmtId="0" fontId="16" fillId="0" borderId="16" xfId="0" applyFont="1" applyBorder="1" applyAlignment="1">
      <alignment vertical="top" wrapText="1"/>
    </xf>
    <xf numFmtId="0" fontId="16" fillId="0" borderId="19" xfId="0" applyFont="1" applyBorder="1" applyAlignment="1">
      <alignment vertical="top" wrapText="1"/>
    </xf>
    <xf numFmtId="0" fontId="16" fillId="0" borderId="0" xfId="0" applyFont="1" applyAlignment="1">
      <alignment wrapText="1"/>
    </xf>
    <xf numFmtId="0" fontId="15" fillId="0" borderId="20" xfId="0" applyFont="1" applyBorder="1" applyAlignment="1">
      <alignment wrapText="1"/>
    </xf>
    <xf numFmtId="0" fontId="15" fillId="0" borderId="13" xfId="0" applyFont="1" applyBorder="1" applyAlignment="1">
      <alignment wrapText="1"/>
    </xf>
    <xf numFmtId="0" fontId="17" fillId="0" borderId="0" xfId="0" applyFont="1"/>
    <xf numFmtId="0" fontId="7" fillId="7" borderId="0" xfId="0" applyFont="1" applyFill="1"/>
    <xf numFmtId="0" fontId="7" fillId="0" borderId="0" xfId="0" applyFont="1" applyAlignment="1">
      <alignment horizontal="left"/>
    </xf>
    <xf numFmtId="0" fontId="7" fillId="0" borderId="23" xfId="0" applyFont="1" applyBorder="1"/>
    <xf numFmtId="0" fontId="7" fillId="0" borderId="22" xfId="0" applyFont="1" applyBorder="1"/>
    <xf numFmtId="0" fontId="7" fillId="0" borderId="23" xfId="0" applyFont="1" applyBorder="1" applyAlignment="1">
      <alignment horizontal="center"/>
    </xf>
    <xf numFmtId="0" fontId="7" fillId="6" borderId="23" xfId="0" applyFont="1" applyFill="1" applyBorder="1"/>
    <xf numFmtId="0" fontId="7" fillId="5" borderId="24" xfId="4" applyFont="1" applyBorder="1" applyAlignment="1">
      <alignment horizontal="center"/>
    </xf>
    <xf numFmtId="0" fontId="7" fillId="5" borderId="23" xfId="4" applyFont="1" applyBorder="1" applyAlignment="1">
      <alignment horizontal="center"/>
    </xf>
    <xf numFmtId="0" fontId="6" fillId="0" borderId="0" xfId="0" applyFont="1"/>
    <xf numFmtId="49" fontId="6" fillId="0" borderId="0" xfId="0" applyNumberFormat="1" applyFont="1"/>
    <xf numFmtId="0" fontId="7" fillId="8" borderId="25" xfId="0" applyFont="1" applyFill="1" applyBorder="1"/>
    <xf numFmtId="0" fontId="7" fillId="8" borderId="26" xfId="0" applyFont="1" applyFill="1" applyBorder="1"/>
    <xf numFmtId="0" fontId="7" fillId="0" borderId="27" xfId="0" applyFont="1" applyBorder="1"/>
    <xf numFmtId="0" fontId="7" fillId="0" borderId="28" xfId="0" applyFont="1" applyBorder="1" applyAlignment="1">
      <alignment vertical="center" textRotation="90"/>
    </xf>
    <xf numFmtId="0" fontId="7" fillId="0" borderId="29" xfId="0" applyFont="1" applyBorder="1"/>
    <xf numFmtId="0" fontId="7" fillId="0" borderId="30" xfId="0" applyFont="1" applyBorder="1"/>
    <xf numFmtId="0" fontId="7" fillId="0" borderId="31" xfId="0" applyFont="1" applyBorder="1"/>
    <xf numFmtId="0" fontId="7" fillId="0" borderId="32" xfId="0" applyFont="1" applyBorder="1"/>
    <xf numFmtId="0" fontId="7" fillId="0" borderId="35" xfId="0" applyFont="1" applyBorder="1"/>
    <xf numFmtId="0" fontId="7" fillId="0" borderId="36" xfId="0" applyFont="1" applyBorder="1"/>
    <xf numFmtId="0" fontId="7" fillId="0" borderId="35" xfId="0" applyFont="1" applyBorder="1" applyAlignment="1">
      <alignment horizontal="center"/>
    </xf>
    <xf numFmtId="0" fontId="7" fillId="6" borderId="35" xfId="0" applyFont="1" applyFill="1" applyBorder="1"/>
    <xf numFmtId="0" fontId="7" fillId="0" borderId="37" xfId="0" applyFont="1" applyBorder="1"/>
    <xf numFmtId="0" fontId="7" fillId="6" borderId="26" xfId="0" applyFont="1" applyFill="1" applyBorder="1"/>
    <xf numFmtId="0" fontId="7" fillId="0" borderId="38" xfId="0" applyFont="1" applyBorder="1" applyAlignment="1">
      <alignment vertical="center" textRotation="90"/>
    </xf>
    <xf numFmtId="0" fontId="11" fillId="0" borderId="0" xfId="0" applyFont="1" applyAlignment="1">
      <alignment wrapText="1"/>
    </xf>
    <xf numFmtId="0" fontId="6" fillId="0" borderId="0" xfId="0" applyFont="1" applyAlignment="1">
      <alignment horizontal="left" vertical="top" wrapText="1"/>
    </xf>
    <xf numFmtId="0" fontId="7" fillId="0" borderId="44" xfId="0" applyFont="1" applyBorder="1" applyAlignment="1">
      <alignment vertical="center" textRotation="90"/>
    </xf>
    <xf numFmtId="0" fontId="6" fillId="0" borderId="45" xfId="0" applyFont="1" applyBorder="1" applyAlignment="1">
      <alignment horizontal="left" vertical="top" wrapText="1"/>
    </xf>
    <xf numFmtId="0" fontId="6" fillId="0" borderId="46" xfId="0" applyFont="1" applyBorder="1" applyAlignment="1">
      <alignment horizontal="left" vertical="top" wrapText="1"/>
    </xf>
    <xf numFmtId="0" fontId="6" fillId="0" borderId="47" xfId="0" applyFont="1" applyBorder="1" applyAlignment="1">
      <alignment horizontal="left" vertical="top" wrapText="1"/>
    </xf>
    <xf numFmtId="0" fontId="7" fillId="0" borderId="0" xfId="0" applyFont="1" applyAlignment="1">
      <alignment horizontal="center"/>
    </xf>
    <xf numFmtId="0" fontId="7" fillId="6" borderId="0" xfId="0" applyFont="1" applyFill="1"/>
    <xf numFmtId="0" fontId="18" fillId="0" borderId="0" xfId="0" applyFont="1" applyAlignment="1">
      <alignment horizontal="center"/>
    </xf>
    <xf numFmtId="0" fontId="18" fillId="0" borderId="0" xfId="0" applyFont="1"/>
    <xf numFmtId="0" fontId="18" fillId="0" borderId="0" xfId="0" applyFont="1" applyAlignment="1">
      <alignment horizontal="left"/>
    </xf>
    <xf numFmtId="0" fontId="7" fillId="0" borderId="48" xfId="0" applyFont="1" applyBorder="1"/>
    <xf numFmtId="0" fontId="7" fillId="0" borderId="49" xfId="0" applyFont="1" applyBorder="1"/>
    <xf numFmtId="0" fontId="7" fillId="0" borderId="50" xfId="0" applyFont="1" applyBorder="1"/>
    <xf numFmtId="0" fontId="18" fillId="0" borderId="9" xfId="0" applyFont="1" applyBorder="1" applyAlignment="1">
      <alignment horizontal="center"/>
    </xf>
    <xf numFmtId="0" fontId="18" fillId="0" borderId="9" xfId="0" applyFont="1" applyBorder="1"/>
    <xf numFmtId="0" fontId="18" fillId="0" borderId="9" xfId="0" applyFont="1" applyBorder="1" applyAlignment="1">
      <alignment horizontal="left"/>
    </xf>
    <xf numFmtId="0" fontId="7" fillId="0" borderId="10" xfId="0" applyFont="1" applyBorder="1"/>
    <xf numFmtId="0" fontId="7" fillId="0" borderId="9" xfId="0" applyFont="1" applyBorder="1" applyAlignment="1">
      <alignment horizontal="left"/>
    </xf>
    <xf numFmtId="0" fontId="7" fillId="0" borderId="51" xfId="0" applyFont="1" applyBorder="1" applyAlignment="1">
      <alignment vertical="center" textRotation="90"/>
    </xf>
    <xf numFmtId="0" fontId="7" fillId="0" borderId="48" xfId="0" applyFont="1" applyBorder="1" applyAlignment="1">
      <alignment horizontal="center"/>
    </xf>
    <xf numFmtId="0" fontId="7" fillId="0" borderId="50" xfId="0" applyFont="1" applyBorder="1" applyAlignment="1">
      <alignment horizontal="center"/>
    </xf>
    <xf numFmtId="0" fontId="7" fillId="0" borderId="49" xfId="0" applyFont="1" applyBorder="1" applyAlignment="1">
      <alignment horizontal="center"/>
    </xf>
    <xf numFmtId="0" fontId="7" fillId="7" borderId="8" xfId="0" applyFont="1" applyFill="1" applyBorder="1"/>
    <xf numFmtId="0" fontId="19" fillId="0" borderId="0" xfId="0" applyFont="1" applyAlignment="1">
      <alignment horizontal="left"/>
    </xf>
    <xf numFmtId="0" fontId="7" fillId="7" borderId="0" xfId="0" applyFont="1" applyFill="1" applyAlignment="1">
      <alignment horizontal="left"/>
    </xf>
    <xf numFmtId="0" fontId="7" fillId="0" borderId="0" xfId="0" applyFont="1" applyAlignment="1">
      <alignment horizontal="center" vertical="center"/>
    </xf>
    <xf numFmtId="0" fontId="6" fillId="0" borderId="26" xfId="0" applyFont="1" applyBorder="1" applyAlignment="1">
      <alignment horizontal="left" vertical="top" wrapText="1"/>
    </xf>
    <xf numFmtId="0" fontId="20" fillId="0" borderId="0" xfId="0" applyFont="1"/>
    <xf numFmtId="0" fontId="20" fillId="0" borderId="15" xfId="0" applyFont="1" applyBorder="1" applyAlignment="1">
      <alignment vertical="top"/>
    </xf>
    <xf numFmtId="0" fontId="20" fillId="0" borderId="11" xfId="0" applyFont="1" applyBorder="1" applyAlignment="1">
      <alignment vertical="top"/>
    </xf>
    <xf numFmtId="0" fontId="20" fillId="0" borderId="6" xfId="0" applyFont="1" applyBorder="1" applyAlignment="1">
      <alignment vertical="top"/>
    </xf>
    <xf numFmtId="0" fontId="20" fillId="0" borderId="16" xfId="0" applyFont="1" applyBorder="1" applyAlignment="1">
      <alignment vertical="top" wrapText="1"/>
    </xf>
    <xf numFmtId="0" fontId="20" fillId="0" borderId="0" xfId="0" applyFont="1" applyAlignment="1">
      <alignment wrapText="1"/>
    </xf>
    <xf numFmtId="0" fontId="7" fillId="0" borderId="33" xfId="0" applyFont="1" applyBorder="1" applyAlignment="1">
      <alignment horizontal="center" vertical="center" textRotation="90"/>
    </xf>
    <xf numFmtId="0" fontId="7" fillId="0" borderId="34" xfId="0" applyFont="1" applyBorder="1" applyAlignment="1">
      <alignment horizontal="center" vertical="center" textRotation="90"/>
    </xf>
    <xf numFmtId="0" fontId="9" fillId="3" borderId="41" xfId="2" applyFont="1" applyBorder="1" applyAlignment="1">
      <alignment horizontal="center"/>
    </xf>
    <xf numFmtId="0" fontId="9" fillId="3" borderId="26" xfId="2" applyFont="1" applyBorder="1" applyAlignment="1">
      <alignment horizontal="center"/>
    </xf>
    <xf numFmtId="0" fontId="9" fillId="3" borderId="42" xfId="2" applyFont="1" applyBorder="1" applyAlignment="1">
      <alignment horizontal="center"/>
    </xf>
    <xf numFmtId="0" fontId="10" fillId="2" borderId="41" xfId="1" applyFont="1" applyBorder="1" applyAlignment="1">
      <alignment horizontal="center"/>
    </xf>
    <xf numFmtId="0" fontId="10" fillId="2" borderId="26" xfId="1" applyFont="1" applyBorder="1" applyAlignment="1">
      <alignment horizontal="center"/>
    </xf>
    <xf numFmtId="0" fontId="10" fillId="2" borderId="43" xfId="1" applyFont="1" applyBorder="1" applyAlignment="1">
      <alignment horizontal="center"/>
    </xf>
    <xf numFmtId="0" fontId="12" fillId="4" borderId="39" xfId="3" applyFont="1" applyBorder="1" applyAlignment="1">
      <alignment horizontal="center"/>
    </xf>
    <xf numFmtId="0" fontId="12" fillId="4" borderId="26" xfId="3" applyFont="1" applyBorder="1" applyAlignment="1">
      <alignment horizontal="center"/>
    </xf>
    <xf numFmtId="0" fontId="12" fillId="4" borderId="40" xfId="3" applyFont="1" applyBorder="1" applyAlignment="1">
      <alignment horizontal="center"/>
    </xf>
  </cellXfs>
  <cellStyles count="5">
    <cellStyle name="Good" xfId="1" builtinId="26"/>
    <cellStyle name="Input" xfId="3" builtinId="20"/>
    <cellStyle name="Neutral" xfId="2" builtinId="28"/>
    <cellStyle name="Normal" xfId="0" builtinId="0"/>
    <cellStyle name="Note" xfId="4" builtinId="1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11" Type="http://schemas.openxmlformats.org/officeDocument/2006/relationships/customXml" Target="../customXml/item3.xml"/><Relationship Id="rId5" Type="http://schemas.openxmlformats.org/officeDocument/2006/relationships/styles" Target="styles.xml"/><Relationship Id="rId10" Type="http://schemas.openxmlformats.org/officeDocument/2006/relationships/customXml" Target="../customXml/item2.xml"/><Relationship Id="rId4" Type="http://schemas.openxmlformats.org/officeDocument/2006/relationships/theme" Target="theme/theme1.xml"/><Relationship Id="rId9" Type="http://schemas.openxmlformats.org/officeDocument/2006/relationships/customXml" Target="../customXml/item1.xml"/></Relationships>
</file>

<file path=xl/persons/person.xml><?xml version="1.0" encoding="utf-8"?>
<personList xmlns="http://schemas.microsoft.com/office/spreadsheetml/2018/threadedcomments" xmlns:x="http://schemas.openxmlformats.org/spreadsheetml/2006/main">
  <person displayName="Frank van der Heijden" id="{B397CF09-C406-4C90-A000-3F7532171D89}" userId="S::frank@inffra.nl::c03fda13-f2da-4f8e-9305-090b691101c4"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G23" dT="2023-10-26T08:01:32.41" personId="{B397CF09-C406-4C90-A000-3F7532171D89}" id="{9C29BFE1-8443-4A39-ADFC-402F83290C5B}">
    <text>Wanneer wordt deze status door een GIS operator ingesteld</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 Id="rId4" Type="http://schemas.microsoft.com/office/2017/10/relationships/threadedComment" Target="../threadedComments/threadedComment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795310-BDFF-4E05-B84C-F02D6183A7DA}">
  <dimension ref="A1:U66"/>
  <sheetViews>
    <sheetView topLeftCell="B7" zoomScaleNormal="100" workbookViewId="0">
      <pane xSplit="2" topLeftCell="Q31" activePane="topRight" state="frozen"/>
      <selection pane="topRight" activeCell="Q31" sqref="Q31"/>
      <selection activeCell="B8" sqref="B8"/>
    </sheetView>
  </sheetViews>
  <sheetFormatPr defaultColWidth="9.140625" defaultRowHeight="12.95" outlineLevelCol="1"/>
  <cols>
    <col min="1" max="1" width="2.7109375" style="2" customWidth="1"/>
    <col min="2" max="2" width="21.7109375" style="2" customWidth="1"/>
    <col min="3" max="3" width="18.85546875" style="2" bestFit="1" customWidth="1"/>
    <col min="4" max="4" width="15.28515625" style="2" bestFit="1" customWidth="1"/>
    <col min="5" max="5" width="14.140625" style="2" customWidth="1"/>
    <col min="6" max="6" width="55" style="2" customWidth="1"/>
    <col min="7" max="7" width="1.42578125" style="2" customWidth="1"/>
    <col min="8" max="8" width="5.7109375" style="2" bestFit="1" customWidth="1"/>
    <col min="9" max="9" width="1.5703125" style="2" hidden="1" customWidth="1" outlineLevel="1"/>
    <col min="10" max="10" width="14.140625" style="2" bestFit="1" customWidth="1" collapsed="1"/>
    <col min="11" max="11" width="1.85546875" style="2" hidden="1" customWidth="1" outlineLevel="1"/>
    <col min="12" max="12" width="17.140625" style="2" customWidth="1" collapsed="1"/>
    <col min="13" max="13" width="74.42578125" style="2" customWidth="1"/>
    <col min="14" max="14" width="1.42578125" style="2" customWidth="1"/>
    <col min="15" max="15" width="5.7109375" style="2" bestFit="1" customWidth="1"/>
    <col min="16" max="16" width="1.5703125" style="2" hidden="1" customWidth="1" outlineLevel="1"/>
    <col min="17" max="17" width="14" style="2" bestFit="1" customWidth="1" collapsed="1"/>
    <col min="18" max="18" width="2.28515625" style="2" hidden="1" customWidth="1" outlineLevel="1"/>
    <col min="19" max="19" width="16" style="2" customWidth="1" collapsed="1"/>
    <col min="20" max="20" width="60.42578125" style="2" bestFit="1" customWidth="1"/>
    <col min="21" max="16384" width="9.140625" style="2"/>
  </cols>
  <sheetData>
    <row r="1" spans="1:21" s="63" customFormat="1" ht="80.25" customHeight="1" thickBot="1">
      <c r="A1" s="9"/>
      <c r="B1" s="9" t="s">
        <v>0</v>
      </c>
      <c r="C1" s="9" t="s">
        <v>1</v>
      </c>
      <c r="D1" s="9" t="s">
        <v>2</v>
      </c>
      <c r="E1" s="9"/>
      <c r="F1" s="9"/>
      <c r="G1" s="9"/>
      <c r="H1" s="9"/>
      <c r="I1" s="9"/>
      <c r="J1" s="9"/>
      <c r="K1" s="9"/>
      <c r="L1" s="9"/>
      <c r="M1" s="9"/>
      <c r="N1" s="9"/>
      <c r="O1" s="9"/>
      <c r="P1" s="9"/>
      <c r="Q1" s="9"/>
      <c r="R1" s="9"/>
      <c r="S1" s="9"/>
      <c r="T1" s="9"/>
      <c r="U1" s="9"/>
    </row>
    <row r="2" spans="1:21" ht="13.15" thickTop="1">
      <c r="B2" s="2" t="s">
        <v>3</v>
      </c>
      <c r="C2" s="2" t="s">
        <v>4</v>
      </c>
    </row>
    <row r="3" spans="1:21">
      <c r="B3" s="2" t="s">
        <v>5</v>
      </c>
      <c r="C3" s="2" t="s">
        <v>6</v>
      </c>
      <c r="F3" s="4" t="s">
        <v>7</v>
      </c>
    </row>
    <row r="4" spans="1:21">
      <c r="B4" s="2" t="s">
        <v>8</v>
      </c>
      <c r="F4" s="4" t="s">
        <v>9</v>
      </c>
    </row>
    <row r="5" spans="1:21">
      <c r="B5" s="2" t="s">
        <v>10</v>
      </c>
    </row>
    <row r="6" spans="1:21">
      <c r="B6" s="2" t="s">
        <v>11</v>
      </c>
      <c r="C6" s="2" t="s">
        <v>12</v>
      </c>
    </row>
    <row r="8" spans="1:21">
      <c r="B8" s="3" t="s">
        <v>13</v>
      </c>
      <c r="C8" s="2" t="s">
        <v>14</v>
      </c>
    </row>
    <row r="9" spans="1:21">
      <c r="C9" s="2" t="s">
        <v>15</v>
      </c>
    </row>
    <row r="11" spans="1:21">
      <c r="C11" s="39" t="str">
        <f>$C$8&amp;D11&amp;$C$9</f>
        <v>(VERLATEN)</v>
      </c>
      <c r="D11" s="2" t="s">
        <v>16</v>
      </c>
    </row>
    <row r="12" spans="1:21">
      <c r="C12" s="39" t="str">
        <f>$C$8&amp;D12&amp;$C$9</f>
        <v>(RESERVE)</v>
      </c>
      <c r="D12" s="2" t="s">
        <v>17</v>
      </c>
    </row>
    <row r="13" spans="1:21">
      <c r="C13" s="88" t="s">
        <v>18</v>
      </c>
    </row>
    <row r="14" spans="1:21">
      <c r="C14" s="39"/>
      <c r="D14" s="2" t="s">
        <v>19</v>
      </c>
    </row>
    <row r="15" spans="1:21">
      <c r="D15" s="2" t="s">
        <v>20</v>
      </c>
    </row>
    <row r="16" spans="1:21">
      <c r="D16" s="2" t="s">
        <v>21</v>
      </c>
    </row>
    <row r="17" spans="1:21">
      <c r="D17" s="2" t="s">
        <v>22</v>
      </c>
      <c r="F17" s="3"/>
      <c r="G17" s="4"/>
    </row>
    <row r="18" spans="1:21">
      <c r="D18" s="2" t="s">
        <v>23</v>
      </c>
      <c r="F18" s="3"/>
      <c r="G18" s="4"/>
    </row>
    <row r="19" spans="1:21">
      <c r="D19" s="2" t="s">
        <v>24</v>
      </c>
      <c r="F19" s="3"/>
      <c r="G19" s="4"/>
    </row>
    <row r="20" spans="1:21">
      <c r="D20" s="2" t="s">
        <v>25</v>
      </c>
      <c r="F20" s="3" t="s">
        <v>26</v>
      </c>
      <c r="G20" s="4" t="s">
        <v>27</v>
      </c>
    </row>
    <row r="21" spans="1:21">
      <c r="F21" s="3" t="s">
        <v>28</v>
      </c>
      <c r="G21" s="4" t="s">
        <v>29</v>
      </c>
    </row>
    <row r="22" spans="1:21">
      <c r="F22" s="3" t="s">
        <v>30</v>
      </c>
      <c r="G22" s="5" t="s">
        <v>31</v>
      </c>
    </row>
    <row r="23" spans="1:21" ht="13.15" thickBot="1">
      <c r="F23" s="3"/>
      <c r="G23" s="5" t="s">
        <v>32</v>
      </c>
    </row>
    <row r="24" spans="1:21" ht="13.15" thickBot="1">
      <c r="A24" s="48"/>
      <c r="B24" s="49"/>
      <c r="C24" s="49"/>
      <c r="D24" s="105" t="s">
        <v>33</v>
      </c>
      <c r="E24" s="106"/>
      <c r="F24" s="107"/>
      <c r="G24" s="61"/>
      <c r="H24" s="99" t="s">
        <v>34</v>
      </c>
      <c r="I24" s="100"/>
      <c r="J24" s="100"/>
      <c r="K24" s="100"/>
      <c r="L24" s="100"/>
      <c r="M24" s="101"/>
      <c r="N24" s="61"/>
      <c r="O24" s="102" t="s">
        <v>35</v>
      </c>
      <c r="P24" s="103"/>
      <c r="Q24" s="103"/>
      <c r="R24" s="103"/>
      <c r="S24" s="103"/>
      <c r="T24" s="104"/>
    </row>
    <row r="25" spans="1:21" s="64" customFormat="1" ht="33.75" customHeight="1" thickBot="1">
      <c r="A25" s="65"/>
      <c r="B25" s="66" t="s">
        <v>33</v>
      </c>
      <c r="C25" s="67" t="s">
        <v>36</v>
      </c>
      <c r="D25" s="90" t="s">
        <v>37</v>
      </c>
      <c r="E25" s="90" t="s">
        <v>38</v>
      </c>
      <c r="F25" s="90" t="s">
        <v>39</v>
      </c>
      <c r="G25" s="61"/>
      <c r="H25" s="66" t="s">
        <v>37</v>
      </c>
      <c r="I25" s="66"/>
      <c r="J25" s="66" t="s">
        <v>38</v>
      </c>
      <c r="K25" s="66"/>
      <c r="L25" s="66" t="s">
        <v>40</v>
      </c>
      <c r="M25" s="66" t="s">
        <v>39</v>
      </c>
      <c r="N25" s="61"/>
      <c r="O25" s="66" t="s">
        <v>37</v>
      </c>
      <c r="P25" s="66"/>
      <c r="Q25" s="66" t="s">
        <v>38</v>
      </c>
      <c r="R25" s="66"/>
      <c r="S25" s="66" t="s">
        <v>40</v>
      </c>
      <c r="T25" s="68" t="s">
        <v>39</v>
      </c>
      <c r="U25" s="2"/>
    </row>
    <row r="26" spans="1:21" ht="13.15" thickTop="1">
      <c r="A26" s="10"/>
      <c r="B26" s="2" t="s">
        <v>41</v>
      </c>
      <c r="C26" s="2" t="s">
        <v>41</v>
      </c>
      <c r="D26" s="83" t="s">
        <v>3</v>
      </c>
      <c r="E26" s="42" t="str">
        <f>C13</f>
        <v>(IN BEDRIJF)</v>
      </c>
      <c r="F26" s="41" t="str">
        <f>D26&amp;$G$23&amp;$G$21&amp;"-"&amp;E26&amp;$G$22</f>
        <v>B-OI-KL-ET_MS_DISTRIBUTIE_6 kV_3x95Cu-(IN BEDRIJF)-G</v>
      </c>
      <c r="G26" s="70"/>
      <c r="H26" s="69" t="s">
        <v>3</v>
      </c>
      <c r="I26" s="2" t="str">
        <f>IF(AND(L26="",J26=""),"","-")</f>
        <v>-</v>
      </c>
      <c r="J26" s="89" t="str">
        <f>C13</f>
        <v>(IN BEDRIJF)</v>
      </c>
      <c r="K26" s="69" t="str">
        <f>IF(OR(L26="",J26=""),"","_")</f>
        <v/>
      </c>
      <c r="L26" s="39"/>
      <c r="M26" s="2" t="str">
        <f>H26&amp;$G$23&amp;$G$21&amp;I26&amp;J26&amp;K26&amp;L26&amp;$G$22</f>
        <v>B-OI-KL-ET_MS_DISTRIBUTIE_6 kV_3x95Cu-(IN BEDRIJF)-G</v>
      </c>
      <c r="N26" s="70"/>
      <c r="O26" s="69" t="s">
        <v>3</v>
      </c>
      <c r="P26" s="2" t="str">
        <f>IF(AND(S26="",Q26=""),"","-")</f>
        <v>-</v>
      </c>
      <c r="Q26" s="69" t="str">
        <f>C13</f>
        <v>(IN BEDRIJF)</v>
      </c>
      <c r="R26" s="69" t="str">
        <f>IF(OR(S26="",Q26=""),"","_")</f>
        <v/>
      </c>
      <c r="S26" s="69"/>
      <c r="T26" s="50" t="str">
        <f>O26&amp;$G$23&amp;$G$21&amp;P26&amp;Q26&amp;R26&amp;S26&amp;$G$22</f>
        <v>B-OI-KL-ET_MS_DISTRIBUTIE_6 kV_3x95Cu-(IN BEDRIJF)-G</v>
      </c>
    </row>
    <row r="27" spans="1:21" ht="13.5" customHeight="1">
      <c r="A27" s="10"/>
      <c r="B27" s="2" t="s">
        <v>41</v>
      </c>
      <c r="C27" s="2" t="s">
        <v>42</v>
      </c>
      <c r="D27" s="84" t="s">
        <v>3</v>
      </c>
      <c r="E27" s="69" t="str">
        <f>C13</f>
        <v>(IN BEDRIJF)</v>
      </c>
      <c r="F27" s="10" t="str">
        <f t="shared" ref="F27:F30" si="0">D27&amp;$G$23&amp;$G$21&amp;"-"&amp;E27&amp;$G$22</f>
        <v>B-OI-KL-ET_MS_DISTRIBUTIE_6 kV_3x95Cu-(IN BEDRIJF)-G</v>
      </c>
      <c r="G27" s="70"/>
      <c r="H27" s="69" t="s">
        <v>3</v>
      </c>
      <c r="I27" s="2" t="str">
        <f t="shared" ref="I27:I40" si="1">IF(AND(L27="",J27=""),"","-")</f>
        <v>-</v>
      </c>
      <c r="J27" s="89" t="str">
        <f>C13</f>
        <v>(IN BEDRIJF)</v>
      </c>
      <c r="K27" s="69" t="str">
        <f>IF(OR(L27="",J27=""),"","_")</f>
        <v>_</v>
      </c>
      <c r="L27" s="39" t="str">
        <f>D16</f>
        <v>VERLATEN STELLEN</v>
      </c>
      <c r="M27" s="2" t="str">
        <f t="shared" ref="M27:M40" si="2">H27&amp;$G$23&amp;$G$21&amp;I27&amp;J27&amp;K27&amp;L27&amp;$G$22</f>
        <v>B-OI-KL-ET_MS_DISTRIBUTIE_6 kV_3x95Cu-(IN BEDRIJF)_VERLATEN STELLEN-G</v>
      </c>
      <c r="N27" s="70"/>
      <c r="O27" s="69" t="s">
        <v>8</v>
      </c>
      <c r="P27" s="2" t="str">
        <f t="shared" ref="P27:P40" si="3">IF(AND(S27="",Q27=""),"","-")</f>
        <v>-</v>
      </c>
      <c r="Q27" s="69" t="str">
        <f>C11</f>
        <v>(VERLATEN)</v>
      </c>
      <c r="R27" s="69" t="str">
        <f t="shared" ref="R27:R40" si="4">IF(OR(S27="",Q27=""),"","_")</f>
        <v/>
      </c>
      <c r="T27" s="50" t="str">
        <f t="shared" ref="T27:T40" si="5">O27&amp;$G$23&amp;$G$21&amp;P27&amp;Q27&amp;R27&amp;S27&amp;$G$22</f>
        <v>R-OI-KL-ET_MS_DISTRIBUTIE_6 kV_3x95Cu-(VERLATEN)-G</v>
      </c>
    </row>
    <row r="28" spans="1:21">
      <c r="A28" s="10"/>
      <c r="B28" s="2" t="s">
        <v>41</v>
      </c>
      <c r="C28" s="2" t="s">
        <v>43</v>
      </c>
      <c r="D28" s="84" t="s">
        <v>3</v>
      </c>
      <c r="E28" s="69" t="str">
        <f>C13</f>
        <v>(IN BEDRIJF)</v>
      </c>
      <c r="F28" s="10" t="str">
        <f t="shared" si="0"/>
        <v>B-OI-KL-ET_MS_DISTRIBUTIE_6 kV_3x95Cu-(IN BEDRIJF)-G</v>
      </c>
      <c r="G28" s="70"/>
      <c r="H28" s="69" t="s">
        <v>3</v>
      </c>
      <c r="I28" s="2" t="str">
        <f t="shared" si="1"/>
        <v>-</v>
      </c>
      <c r="J28" s="89" t="str">
        <f>C13</f>
        <v>(IN BEDRIJF)</v>
      </c>
      <c r="K28" s="69" t="str">
        <f t="shared" ref="K28:K37" si="6">IF(OR(L28="",J28=""),"","_")</f>
        <v>_</v>
      </c>
      <c r="L28" s="39" t="str">
        <f>D15</f>
        <v>RESERVE STELLEN</v>
      </c>
      <c r="M28" s="2" t="str">
        <f t="shared" si="2"/>
        <v>B-OI-KL-ET_MS_DISTRIBUTIE_6 kV_3x95Cu-(IN BEDRIJF)_RESERVE STELLEN-G</v>
      </c>
      <c r="N28" s="70"/>
      <c r="O28" s="69" t="s">
        <v>8</v>
      </c>
      <c r="P28" s="2" t="str">
        <f t="shared" si="3"/>
        <v>-</v>
      </c>
      <c r="Q28" s="69" t="str">
        <f>C12</f>
        <v>(RESERVE)</v>
      </c>
      <c r="R28" s="69" t="str">
        <f t="shared" si="4"/>
        <v/>
      </c>
      <c r="T28" s="50" t="str">
        <f t="shared" si="5"/>
        <v>R-OI-KL-ET_MS_DISTRIBUTIE_6 kV_3x95Cu-(RESERVE)-G</v>
      </c>
    </row>
    <row r="29" spans="1:21">
      <c r="A29" s="80"/>
      <c r="B29" s="75" t="s">
        <v>41</v>
      </c>
      <c r="C29" s="14" t="s">
        <v>12</v>
      </c>
      <c r="D29" s="85" t="s">
        <v>3</v>
      </c>
      <c r="E29" s="15" t="str">
        <f>C13</f>
        <v>(IN BEDRIJF)</v>
      </c>
      <c r="F29" s="80" t="str">
        <f t="shared" si="0"/>
        <v>B-OI-KL-ET_MS_DISTRIBUTIE_6 kV_3x95Cu-(IN BEDRIJF)-G</v>
      </c>
      <c r="G29" s="16"/>
      <c r="H29" s="15" t="s">
        <v>3</v>
      </c>
      <c r="I29" s="14" t="str">
        <f t="shared" si="1"/>
        <v>-</v>
      </c>
      <c r="J29" s="89" t="str">
        <f>C13</f>
        <v>(IN BEDRIJF)</v>
      </c>
      <c r="K29" s="15" t="str">
        <f t="shared" si="6"/>
        <v>_</v>
      </c>
      <c r="L29" s="81" t="str">
        <f>D20</f>
        <v>TE VERWIJDEREN</v>
      </c>
      <c r="M29" s="14" t="str">
        <f t="shared" si="2"/>
        <v>B-OI-KL-ET_MS_DISTRIBUTIE_6 kV_3x95Cu-(IN BEDRIJF)_TE VERWIJDEREN-G</v>
      </c>
      <c r="N29" s="16"/>
      <c r="O29" s="15" t="s">
        <v>11</v>
      </c>
      <c r="P29" s="14" t="str">
        <f t="shared" si="3"/>
        <v/>
      </c>
      <c r="Q29" s="15"/>
      <c r="R29" s="15" t="str">
        <f t="shared" si="4"/>
        <v/>
      </c>
      <c r="S29" s="14"/>
      <c r="T29" s="53" t="str">
        <f t="shared" si="5"/>
        <v>V-OI-KL-ET_MS_DISTRIBUTIE_6 kV_3x95Cu-G</v>
      </c>
    </row>
    <row r="30" spans="1:21">
      <c r="A30" s="10"/>
      <c r="B30" s="74" t="s">
        <v>41</v>
      </c>
      <c r="C30" s="40" t="s">
        <v>44</v>
      </c>
      <c r="D30" s="84" t="s">
        <v>3</v>
      </c>
      <c r="E30" s="69" t="str">
        <f>C13</f>
        <v>(IN BEDRIJF)</v>
      </c>
      <c r="F30" s="2" t="str">
        <f t="shared" si="0"/>
        <v>B-OI-KL-ET_MS_DISTRIBUTIE_6 kV_3x95Cu-(IN BEDRIJF)-G</v>
      </c>
      <c r="G30" s="43"/>
      <c r="H30" s="42" t="s">
        <v>3</v>
      </c>
      <c r="I30" s="42" t="str">
        <f t="shared" si="1"/>
        <v/>
      </c>
      <c r="J30" s="40"/>
      <c r="K30" s="42" t="str">
        <f t="shared" si="6"/>
        <v/>
      </c>
      <c r="L30" s="42"/>
      <c r="M30" s="40" t="str">
        <f t="shared" si="2"/>
        <v>B-OI-KL-ET_MS_DISTRIBUTIE_6 kV_3x95Cu-G</v>
      </c>
      <c r="N30" s="43"/>
      <c r="O30" s="42" t="s">
        <v>3</v>
      </c>
      <c r="P30" s="40" t="str">
        <f t="shared" si="3"/>
        <v/>
      </c>
      <c r="Q30" s="40"/>
      <c r="R30" s="42" t="str">
        <f t="shared" si="4"/>
        <v/>
      </c>
      <c r="S30" s="40"/>
      <c r="T30" s="52" t="str">
        <f t="shared" si="5"/>
        <v>B-OI-KL-ET_MS_DISTRIBUTIE_6 kV_3x95Cu-G</v>
      </c>
    </row>
    <row r="31" spans="1:21">
      <c r="A31" s="10"/>
      <c r="B31" s="76"/>
      <c r="D31" s="84"/>
      <c r="E31" s="69"/>
      <c r="G31" s="70"/>
      <c r="H31" s="69" t="s">
        <v>8</v>
      </c>
      <c r="I31" s="2" t="str">
        <f t="shared" ref="I31" si="7">IF(AND(L31="",J31=""),"","-")</f>
        <v/>
      </c>
      <c r="J31" s="69"/>
      <c r="K31" s="69" t="str">
        <f t="shared" ref="K31" si="8">IF(OR(L31="",J31=""),"","_")</f>
        <v/>
      </c>
      <c r="L31" s="39"/>
      <c r="M31" s="2" t="str">
        <f t="shared" si="2"/>
        <v>R-OI-KL-ET_MS_DISTRIBUTIE_6 kV_3x95Cu-G</v>
      </c>
      <c r="N31" s="70"/>
      <c r="O31" s="69" t="s">
        <v>8</v>
      </c>
      <c r="P31" s="2" t="str">
        <f t="shared" ref="P31" si="9">IF(AND(S31="",Q31=""),"","-")</f>
        <v>-</v>
      </c>
      <c r="Q31" s="69" t="str">
        <f>C13</f>
        <v>(IN BEDRIJF)</v>
      </c>
      <c r="R31" s="69" t="str">
        <f t="shared" ref="R31" si="10">IF(OR(S31="",Q31=""),"","_")</f>
        <v/>
      </c>
      <c r="T31" s="50" t="str">
        <f t="shared" ref="T31" si="11">O31&amp;$G$23&amp;$G$21&amp;P31&amp;Q31&amp;R31&amp;S31&amp;$G$22</f>
        <v>R-OI-KL-ET_MS_DISTRIBUTIE_6 kV_3x95Cu-(IN BEDRIJF)-G</v>
      </c>
    </row>
    <row r="32" spans="1:21">
      <c r="A32" s="82"/>
      <c r="B32" s="76"/>
      <c r="D32" s="84"/>
      <c r="E32" s="69"/>
      <c r="G32" s="70"/>
      <c r="H32" s="71" t="s">
        <v>3</v>
      </c>
      <c r="I32" s="72"/>
      <c r="J32" s="71"/>
      <c r="K32" s="71"/>
      <c r="L32" s="73" t="s">
        <v>24</v>
      </c>
      <c r="M32" s="72" t="s">
        <v>45</v>
      </c>
      <c r="N32" s="70"/>
      <c r="O32" s="69"/>
      <c r="R32" s="69"/>
      <c r="T32" s="50"/>
    </row>
    <row r="33" spans="1:20">
      <c r="A33" s="82"/>
      <c r="B33" s="75"/>
      <c r="C33" s="14"/>
      <c r="D33" s="85"/>
      <c r="E33" s="15"/>
      <c r="F33" s="14"/>
      <c r="G33" s="16"/>
      <c r="H33" s="77" t="s">
        <v>5</v>
      </c>
      <c r="I33" s="78"/>
      <c r="J33" s="77"/>
      <c r="K33" s="77"/>
      <c r="L33" s="79" t="s">
        <v>24</v>
      </c>
      <c r="M33" s="78" t="s">
        <v>46</v>
      </c>
      <c r="N33" s="16"/>
      <c r="O33" s="15"/>
      <c r="P33" s="14"/>
      <c r="Q33" s="14"/>
      <c r="R33" s="15"/>
      <c r="S33" s="14"/>
      <c r="T33" s="53"/>
    </row>
    <row r="34" spans="1:20">
      <c r="A34" s="51"/>
      <c r="B34" s="2" t="s">
        <v>42</v>
      </c>
      <c r="C34" s="10" t="s">
        <v>12</v>
      </c>
      <c r="D34" s="69" t="s">
        <v>3</v>
      </c>
      <c r="E34" s="69" t="str">
        <f>C11</f>
        <v>(VERLATEN)</v>
      </c>
      <c r="F34" s="2" t="str">
        <f>D34&amp;$G$23&amp;$G$21&amp;"-"&amp;E34&amp;$G$22</f>
        <v>B-OI-KL-ET_MS_DISTRIBUTIE_6 kV_3x95Cu-(VERLATEN)-G</v>
      </c>
      <c r="G34" s="70"/>
      <c r="H34" s="69" t="s">
        <v>3</v>
      </c>
      <c r="I34" s="2" t="str">
        <f t="shared" si="1"/>
        <v>-</v>
      </c>
      <c r="J34" s="69" t="str">
        <f>E34</f>
        <v>(VERLATEN)</v>
      </c>
      <c r="K34" s="69" t="str">
        <f t="shared" si="6"/>
        <v>_</v>
      </c>
      <c r="L34" s="39" t="str">
        <f>D20</f>
        <v>TE VERWIJDEREN</v>
      </c>
      <c r="M34" s="2" t="str">
        <f t="shared" si="2"/>
        <v>B-OI-KL-ET_MS_DISTRIBUTIE_6 kV_3x95Cu-(VERLATEN)_TE VERWIJDEREN-G</v>
      </c>
      <c r="N34" s="70"/>
      <c r="O34" s="69" t="s">
        <v>11</v>
      </c>
      <c r="P34" s="2" t="str">
        <f t="shared" si="3"/>
        <v/>
      </c>
      <c r="Q34" s="69"/>
      <c r="R34" s="69" t="str">
        <f t="shared" si="4"/>
        <v/>
      </c>
      <c r="S34" s="69"/>
      <c r="T34" s="50" t="str">
        <f t="shared" si="5"/>
        <v>V-OI-KL-ET_MS_DISTRIBUTIE_6 kV_3x95Cu-G</v>
      </c>
    </row>
    <row r="35" spans="1:20">
      <c r="A35" s="51"/>
      <c r="B35" s="2" t="s">
        <v>43</v>
      </c>
      <c r="C35" s="10" t="s">
        <v>12</v>
      </c>
      <c r="D35" s="69" t="s">
        <v>3</v>
      </c>
      <c r="E35" s="69" t="str">
        <f>C12</f>
        <v>(RESERVE)</v>
      </c>
      <c r="F35" s="2" t="str">
        <f>D35&amp;$G$23&amp;$G$21&amp;"-"&amp;E35&amp;$G$22</f>
        <v>B-OI-KL-ET_MS_DISTRIBUTIE_6 kV_3x95Cu-(RESERVE)-G</v>
      </c>
      <c r="G35" s="70"/>
      <c r="H35" s="69" t="s">
        <v>3</v>
      </c>
      <c r="I35" s="2" t="str">
        <f t="shared" si="1"/>
        <v>-</v>
      </c>
      <c r="J35" s="69" t="str">
        <f>C12</f>
        <v>(RESERVE)</v>
      </c>
      <c r="K35" s="69" t="str">
        <f>IF(OR(L35="",J35=""),"","_")</f>
        <v>_</v>
      </c>
      <c r="L35" s="39" t="str">
        <f>D20</f>
        <v>TE VERWIJDEREN</v>
      </c>
      <c r="M35" s="2" t="str">
        <f t="shared" si="2"/>
        <v>B-OI-KL-ET_MS_DISTRIBUTIE_6 kV_3x95Cu-(RESERVE)_TE VERWIJDEREN-G</v>
      </c>
      <c r="N35" s="70"/>
      <c r="O35" s="69" t="s">
        <v>11</v>
      </c>
      <c r="P35" s="2" t="str">
        <f t="shared" si="3"/>
        <v/>
      </c>
      <c r="R35" s="69" t="str">
        <f t="shared" si="4"/>
        <v/>
      </c>
      <c r="T35" s="50" t="str">
        <f t="shared" si="5"/>
        <v>V-OI-KL-ET_MS_DISTRIBUTIE_6 kV_3x95Cu-G</v>
      </c>
    </row>
    <row r="36" spans="1:20">
      <c r="A36" s="51"/>
      <c r="B36" s="2" t="s">
        <v>43</v>
      </c>
      <c r="C36" s="10" t="s">
        <v>41</v>
      </c>
      <c r="D36" s="69" t="s">
        <v>3</v>
      </c>
      <c r="E36" s="69" t="str">
        <f>C12</f>
        <v>(RESERVE)</v>
      </c>
      <c r="F36" s="2" t="str">
        <f>D36&amp;$G$23&amp;$G$21&amp;"-"&amp;E36&amp;$G$22</f>
        <v>B-OI-KL-ET_MS_DISTRIBUTIE_6 kV_3x95Cu-(RESERVE)-G</v>
      </c>
      <c r="G36" s="70"/>
      <c r="H36" s="69" t="s">
        <v>3</v>
      </c>
      <c r="I36" s="2" t="str">
        <f t="shared" si="1"/>
        <v>-</v>
      </c>
      <c r="J36" s="69" t="str">
        <f>C12</f>
        <v>(RESERVE)</v>
      </c>
      <c r="K36" s="69" t="str">
        <f t="shared" si="6"/>
        <v>_</v>
      </c>
      <c r="L36" s="39" t="str">
        <f>D14</f>
        <v>IN BEDRIJF NEMEN</v>
      </c>
      <c r="M36" s="2" t="str">
        <f t="shared" si="2"/>
        <v>B-OI-KL-ET_MS_DISTRIBUTIE_6 kV_3x95Cu-(RESERVE)_IN BEDRIJF NEMEN-G</v>
      </c>
      <c r="N36" s="70"/>
      <c r="O36" s="69" t="s">
        <v>8</v>
      </c>
      <c r="P36" s="2" t="str">
        <f t="shared" si="3"/>
        <v/>
      </c>
      <c r="R36" s="69" t="str">
        <f t="shared" si="4"/>
        <v/>
      </c>
      <c r="T36" s="50" t="str">
        <f t="shared" si="5"/>
        <v>R-OI-KL-ET_MS_DISTRIBUTIE_6 kV_3x95Cu-G</v>
      </c>
    </row>
    <row r="37" spans="1:20">
      <c r="A37" s="51"/>
      <c r="B37" s="4" t="s">
        <v>43</v>
      </c>
      <c r="C37" s="11" t="s">
        <v>42</v>
      </c>
      <c r="D37" s="69" t="s">
        <v>3</v>
      </c>
      <c r="E37" s="69" t="str">
        <f>C12</f>
        <v>(RESERVE)</v>
      </c>
      <c r="F37" s="2" t="str">
        <f>D37&amp;$G$23&amp;$G$21&amp;"-"&amp;E37&amp;$G$22</f>
        <v>B-OI-KL-ET_MS_DISTRIBUTIE_6 kV_3x95Cu-(RESERVE)-G</v>
      </c>
      <c r="G37" s="70"/>
      <c r="H37" s="69" t="s">
        <v>3</v>
      </c>
      <c r="I37" s="2" t="str">
        <f t="shared" si="1"/>
        <v>-</v>
      </c>
      <c r="J37" s="69" t="str">
        <f>C12</f>
        <v>(RESERVE)</v>
      </c>
      <c r="K37" s="69" t="str">
        <f t="shared" si="6"/>
        <v>_</v>
      </c>
      <c r="L37" s="39" t="str">
        <f>D16</f>
        <v>VERLATEN STELLEN</v>
      </c>
      <c r="M37" s="2" t="str">
        <f t="shared" si="2"/>
        <v>B-OI-KL-ET_MS_DISTRIBUTIE_6 kV_3x95Cu-(RESERVE)_VERLATEN STELLEN-G</v>
      </c>
      <c r="N37" s="70"/>
      <c r="O37" s="69" t="s">
        <v>8</v>
      </c>
      <c r="P37" s="2" t="str">
        <f t="shared" si="3"/>
        <v>-</v>
      </c>
      <c r="Q37" s="69" t="str">
        <f>C11</f>
        <v>(VERLATEN)</v>
      </c>
      <c r="R37" s="69" t="str">
        <f t="shared" si="4"/>
        <v/>
      </c>
      <c r="T37" s="50" t="str">
        <f t="shared" si="5"/>
        <v>R-OI-KL-ET_MS_DISTRIBUTIE_6 kV_3x95Cu-(VERLATEN)-G</v>
      </c>
    </row>
    <row r="38" spans="1:20">
      <c r="A38" s="51"/>
      <c r="C38" s="10" t="s">
        <v>47</v>
      </c>
      <c r="D38" s="69"/>
      <c r="E38" s="69"/>
      <c r="G38" s="70"/>
      <c r="H38" s="69" t="s">
        <v>5</v>
      </c>
      <c r="I38" s="2" t="str">
        <f t="shared" si="1"/>
        <v>-</v>
      </c>
      <c r="J38" s="69"/>
      <c r="K38" s="69" t="str">
        <f>IF(OR(L38="",J38=""),"","_")</f>
        <v/>
      </c>
      <c r="L38" s="87" t="str">
        <f>D14</f>
        <v>IN BEDRIJF NEMEN</v>
      </c>
      <c r="M38" s="2" t="str">
        <f t="shared" si="2"/>
        <v>N-OI-KL-ET_MS_DISTRIBUTIE_6 kV_3x95Cu-IN BEDRIJF NEMEN-G</v>
      </c>
      <c r="N38" s="70"/>
      <c r="O38" s="69" t="s">
        <v>5</v>
      </c>
      <c r="P38" s="2" t="str">
        <f t="shared" si="3"/>
        <v>-</v>
      </c>
      <c r="Q38" s="69" t="str">
        <f>C13</f>
        <v>(IN BEDRIJF)</v>
      </c>
      <c r="R38" s="69" t="str">
        <f t="shared" si="4"/>
        <v/>
      </c>
      <c r="T38" s="50" t="str">
        <f t="shared" si="5"/>
        <v>N-OI-KL-ET_MS_DISTRIBUTIE_6 kV_3x95Cu-(IN BEDRIJF)-G</v>
      </c>
    </row>
    <row r="39" spans="1:20">
      <c r="A39" s="51"/>
      <c r="C39" s="86" t="s">
        <v>48</v>
      </c>
      <c r="D39" s="69"/>
      <c r="E39" s="69"/>
      <c r="G39" s="70"/>
      <c r="H39" s="69"/>
      <c r="J39" s="69"/>
      <c r="K39" s="69"/>
      <c r="L39" s="73"/>
      <c r="N39" s="70"/>
      <c r="O39" s="69"/>
      <c r="Q39" s="69"/>
      <c r="R39" s="69"/>
      <c r="T39" s="50"/>
    </row>
    <row r="40" spans="1:20">
      <c r="A40" s="62"/>
      <c r="C40" s="10" t="s">
        <v>49</v>
      </c>
      <c r="D40" s="69"/>
      <c r="E40" s="69"/>
      <c r="G40" s="70"/>
      <c r="H40" s="69" t="s">
        <v>5</v>
      </c>
      <c r="I40" s="2" t="str">
        <f t="shared" si="1"/>
        <v>-</v>
      </c>
      <c r="J40" s="69"/>
      <c r="K40" s="69" t="str">
        <f>IF(OR(L40="",J40=""),"","_")</f>
        <v/>
      </c>
      <c r="L40" s="39" t="str">
        <f>D15</f>
        <v>RESERVE STELLEN</v>
      </c>
      <c r="M40" s="2" t="str">
        <f t="shared" si="2"/>
        <v>N-OI-KL-ET_MS_DISTRIBUTIE_6 kV_3x95Cu-RESERVE STELLEN-G</v>
      </c>
      <c r="N40" s="70"/>
      <c r="O40" s="69" t="s">
        <v>5</v>
      </c>
      <c r="P40" s="2" t="str">
        <f t="shared" si="3"/>
        <v>-</v>
      </c>
      <c r="Q40" s="69" t="str">
        <f>C12</f>
        <v>(RESERVE)</v>
      </c>
      <c r="R40" s="69" t="str">
        <f t="shared" si="4"/>
        <v/>
      </c>
      <c r="S40" s="39"/>
      <c r="T40" s="50" t="str">
        <f t="shared" si="5"/>
        <v>N-OI-KL-ET_MS_DISTRIBUTIE_6 kV_3x95Cu-(RESERVE)-G</v>
      </c>
    </row>
    <row r="41" spans="1:20" ht="8.25" customHeight="1">
      <c r="A41" s="54"/>
      <c r="B41" s="13"/>
      <c r="C41" s="13"/>
      <c r="D41" s="13"/>
      <c r="E41" s="13"/>
      <c r="F41" s="13"/>
      <c r="G41" s="13"/>
      <c r="H41" s="13"/>
      <c r="I41" s="13"/>
      <c r="J41" s="13"/>
      <c r="K41" s="13"/>
      <c r="L41" s="13"/>
      <c r="M41" s="13"/>
      <c r="N41" s="13"/>
      <c r="O41" s="13"/>
      <c r="P41" s="13"/>
      <c r="Q41" s="13"/>
      <c r="R41" s="13"/>
      <c r="S41" s="13"/>
      <c r="T41" s="55"/>
    </row>
    <row r="42" spans="1:20" ht="15" customHeight="1">
      <c r="A42" s="97"/>
      <c r="B42" s="40" t="s">
        <v>41</v>
      </c>
      <c r="C42" s="41" t="s">
        <v>50</v>
      </c>
      <c r="D42" s="42" t="s">
        <v>3</v>
      </c>
      <c r="E42" s="42"/>
      <c r="F42" s="40" t="str">
        <f>D42&amp;E42&amp;$G$23&amp;$G$20&amp;$G$22</f>
        <v>B-OI-KL-GAS_LD_DISTRIBUTIE_100 MBAR_NGIJ_118-G</v>
      </c>
      <c r="G42" s="43"/>
      <c r="H42" s="69" t="s">
        <v>3</v>
      </c>
      <c r="I42" s="45"/>
      <c r="J42" s="42"/>
      <c r="K42" s="42"/>
      <c r="L42" s="40" t="s">
        <v>23</v>
      </c>
      <c r="M42" s="40" t="str">
        <f>H42&amp;$G$23&amp;G20&amp;IF(J42&lt;&gt;"",IF(L42&lt;&gt;"","-"&amp;J42&amp;"_"&amp;L42,""),IF(L42&lt;&gt;"","-"&amp;L42,""))&amp;$G$22</f>
        <v>B-OI-KL-GAS_LD_DISTRIBUTIE_100 MBAR_NGIJ_118-OPVULLEN-G</v>
      </c>
      <c r="N42" s="43"/>
      <c r="O42" s="42" t="s">
        <v>8</v>
      </c>
      <c r="P42" s="44"/>
      <c r="Q42" s="69" t="str">
        <f>C11</f>
        <v>(VERLATEN)</v>
      </c>
      <c r="R42" s="45"/>
      <c r="S42" s="40"/>
      <c r="T42" s="52" t="str">
        <f>O42&amp;$G$23&amp;G20&amp;IF(Q42&lt;&gt;"","_"&amp;Q42,"")&amp;IF(S42&lt;&gt;"","-"&amp;S42,"")&amp;$G$22</f>
        <v>R-OI-KL-GAS_LD_DISTRIBUTIE_100 MBAR_NGIJ_118_(VERLATEN)-G</v>
      </c>
    </row>
    <row r="43" spans="1:20" ht="13.15" thickBot="1">
      <c r="A43" s="98"/>
      <c r="B43" s="56" t="s">
        <v>41</v>
      </c>
      <c r="C43" s="57" t="s">
        <v>51</v>
      </c>
      <c r="D43" s="58" t="s">
        <v>3</v>
      </c>
      <c r="E43" s="56"/>
      <c r="F43" s="56" t="str">
        <f>D43&amp;E43&amp;$G$23&amp;$G$20&amp;$G$22</f>
        <v>B-OI-KL-GAS_LD_DISTRIBUTIE_100 MBAR_NGIJ_118-G</v>
      </c>
      <c r="G43" s="59"/>
      <c r="H43" s="58" t="s">
        <v>3</v>
      </c>
      <c r="I43" s="58"/>
      <c r="J43" s="56"/>
      <c r="K43" s="56"/>
      <c r="L43" s="56" t="s">
        <v>22</v>
      </c>
      <c r="M43" s="56" t="str">
        <f>H43&amp;$G$23&amp;G20&amp;IF(J43&lt;&gt;"",IF(L43&lt;&gt;"","-"&amp;J43&amp;"_"&amp;L43,""),IF(L43&lt;&gt;"","-"&amp;L43,""))&amp;$G$22</f>
        <v>B-OI-KL-GAS_LD_DISTRIBUTIE_100 MBAR_NGIJ_118-RELINEN-G</v>
      </c>
      <c r="N43" s="59"/>
      <c r="O43" s="58" t="s">
        <v>8</v>
      </c>
      <c r="P43" s="58"/>
      <c r="Q43" s="56"/>
      <c r="R43" s="56"/>
      <c r="S43" s="56"/>
      <c r="T43" s="60" t="s">
        <v>52</v>
      </c>
    </row>
    <row r="46" spans="1:20">
      <c r="B46" s="2" t="s">
        <v>53</v>
      </c>
    </row>
    <row r="48" spans="1:20">
      <c r="B48" s="37" t="s">
        <v>54</v>
      </c>
    </row>
    <row r="49" spans="2:3">
      <c r="B49" s="2" t="s">
        <v>55</v>
      </c>
    </row>
    <row r="50" spans="2:3">
      <c r="B50" s="2" t="s">
        <v>56</v>
      </c>
    </row>
    <row r="51" spans="2:3">
      <c r="B51" s="2" t="s">
        <v>57</v>
      </c>
    </row>
    <row r="52" spans="2:3">
      <c r="B52" s="2" t="s">
        <v>58</v>
      </c>
    </row>
    <row r="53" spans="2:3">
      <c r="B53" s="2" t="s">
        <v>59</v>
      </c>
    </row>
    <row r="55" spans="2:3">
      <c r="B55" s="38" t="s">
        <v>60</v>
      </c>
    </row>
    <row r="57" spans="2:3">
      <c r="B57" s="46" t="s">
        <v>61</v>
      </c>
      <c r="C57" s="46" t="s">
        <v>62</v>
      </c>
    </row>
    <row r="59" spans="2:3">
      <c r="B59" s="46" t="s">
        <v>63</v>
      </c>
      <c r="C59" s="46" t="s">
        <v>64</v>
      </c>
    </row>
    <row r="60" spans="2:3">
      <c r="B60" s="46"/>
      <c r="C60" s="46" t="s">
        <v>25</v>
      </c>
    </row>
    <row r="62" spans="2:3">
      <c r="B62" s="46" t="s">
        <v>65</v>
      </c>
      <c r="C62" s="47" t="s">
        <v>66</v>
      </c>
    </row>
    <row r="63" spans="2:3">
      <c r="B63" s="46"/>
      <c r="C63" s="47" t="s">
        <v>67</v>
      </c>
    </row>
    <row r="64" spans="2:3">
      <c r="B64" s="46"/>
      <c r="C64" s="46" t="s">
        <v>16</v>
      </c>
    </row>
    <row r="65" spans="2:3">
      <c r="B65" s="46"/>
      <c r="C65" s="46" t="s">
        <v>17</v>
      </c>
    </row>
    <row r="66" spans="2:3">
      <c r="B66" s="46"/>
      <c r="C66" s="46" t="s">
        <v>68</v>
      </c>
    </row>
  </sheetData>
  <mergeCells count="4">
    <mergeCell ref="A42:A43"/>
    <mergeCell ref="H24:M24"/>
    <mergeCell ref="O24:T24"/>
    <mergeCell ref="D24:F24"/>
  </mergeCell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A3836E-E89B-484A-8A62-45A81D13A41C}">
  <dimension ref="A1:L31"/>
  <sheetViews>
    <sheetView tabSelected="1" zoomScaleNormal="100" workbookViewId="0">
      <selection activeCell="K27" sqref="K27"/>
    </sheetView>
  </sheetViews>
  <sheetFormatPr defaultColWidth="35" defaultRowHeight="14.45" outlineLevelCol="1"/>
  <cols>
    <col min="1" max="1" width="36" style="2" bestFit="1" customWidth="1"/>
    <col min="2" max="2" width="27.7109375" style="2" customWidth="1" outlineLevel="1"/>
    <col min="3" max="3" width="18.42578125" style="2" customWidth="1" outlineLevel="1"/>
    <col min="4" max="4" width="30" style="2" customWidth="1" outlineLevel="1"/>
    <col min="5" max="5" width="22.7109375" style="2" customWidth="1" outlineLevel="1"/>
    <col min="6" max="6" width="26.28515625" style="2" customWidth="1" outlineLevel="1"/>
    <col min="7" max="7" width="78.140625" bestFit="1" customWidth="1"/>
    <col min="8" max="8" width="62.5703125" bestFit="1" customWidth="1"/>
    <col min="9" max="9" width="14.85546875" customWidth="1"/>
    <col min="10" max="10" width="21.7109375" bestFit="1" customWidth="1"/>
    <col min="11" max="11" width="54.140625" bestFit="1" customWidth="1"/>
  </cols>
  <sheetData>
    <row r="1" spans="1:12" s="8" customFormat="1" ht="14.65" thickBot="1">
      <c r="A1" s="12" t="s">
        <v>69</v>
      </c>
      <c r="B1" s="12" t="s">
        <v>70</v>
      </c>
      <c r="C1" s="12" t="s">
        <v>71</v>
      </c>
      <c r="D1" s="12" t="s">
        <v>72</v>
      </c>
      <c r="E1" s="12" t="s">
        <v>73</v>
      </c>
      <c r="F1" s="12" t="s">
        <v>74</v>
      </c>
      <c r="G1" s="7" t="s">
        <v>75</v>
      </c>
      <c r="H1" s="7" t="s">
        <v>40</v>
      </c>
      <c r="I1" s="7" t="s">
        <v>76</v>
      </c>
    </row>
    <row r="2" spans="1:12" ht="14.65" thickTop="1">
      <c r="A2" s="17" t="s">
        <v>77</v>
      </c>
      <c r="B2" s="17"/>
      <c r="C2" s="17"/>
      <c r="D2" s="17"/>
      <c r="E2" s="17"/>
      <c r="F2" s="17"/>
      <c r="G2" s="6"/>
      <c r="H2" s="6" t="s">
        <v>23</v>
      </c>
      <c r="I2" s="6"/>
    </row>
    <row r="3" spans="1:12">
      <c r="A3" s="17" t="s">
        <v>78</v>
      </c>
      <c r="B3" s="17"/>
      <c r="C3" s="17"/>
      <c r="D3" s="17"/>
      <c r="E3" s="17"/>
      <c r="F3" s="17"/>
      <c r="G3" s="1"/>
      <c r="H3" s="1" t="s">
        <v>23</v>
      </c>
      <c r="I3" s="1"/>
      <c r="K3" t="s">
        <v>79</v>
      </c>
      <c r="L3" t="s">
        <v>80</v>
      </c>
    </row>
    <row r="4" spans="1:12">
      <c r="A4" s="17" t="s">
        <v>81</v>
      </c>
      <c r="B4" s="17" t="s">
        <v>82</v>
      </c>
      <c r="C4" s="17" t="s">
        <v>83</v>
      </c>
      <c r="D4" s="17"/>
      <c r="E4" s="17" t="s">
        <v>81</v>
      </c>
      <c r="F4" s="17" t="s">
        <v>6</v>
      </c>
      <c r="G4" s="1" t="s">
        <v>5</v>
      </c>
      <c r="H4" s="1"/>
      <c r="I4" s="1"/>
    </row>
    <row r="5" spans="1:12">
      <c r="A5" s="17" t="s">
        <v>84</v>
      </c>
      <c r="B5" s="17" t="s">
        <v>85</v>
      </c>
      <c r="C5" s="17" t="s">
        <v>86</v>
      </c>
      <c r="D5" s="17"/>
      <c r="E5" s="17" t="s">
        <v>87</v>
      </c>
      <c r="F5" s="17"/>
      <c r="G5" s="1" t="s">
        <v>11</v>
      </c>
      <c r="H5" s="1"/>
      <c r="I5" s="1"/>
    </row>
    <row r="6" spans="1:12">
      <c r="A6" s="17"/>
      <c r="B6" s="17" t="s">
        <v>88</v>
      </c>
      <c r="C6" s="17"/>
      <c r="D6" s="17"/>
      <c r="E6" s="17" t="s">
        <v>22</v>
      </c>
      <c r="F6" s="17"/>
      <c r="G6" s="1"/>
      <c r="H6" s="1" t="s">
        <v>22</v>
      </c>
      <c r="I6" s="1"/>
    </row>
    <row r="7" spans="1:12">
      <c r="A7" s="17" t="s">
        <v>89</v>
      </c>
      <c r="B7" s="17"/>
      <c r="C7" s="17"/>
      <c r="D7" s="17"/>
      <c r="E7" s="17"/>
      <c r="F7" s="17"/>
      <c r="G7" s="1"/>
      <c r="H7" s="1" t="s">
        <v>24</v>
      </c>
      <c r="I7" s="1"/>
    </row>
    <row r="8" spans="1:12">
      <c r="A8" s="17" t="s">
        <v>90</v>
      </c>
      <c r="B8" s="17" t="s">
        <v>91</v>
      </c>
      <c r="C8" s="17"/>
      <c r="D8" s="17"/>
      <c r="E8" s="17"/>
      <c r="F8" s="17"/>
      <c r="G8" s="1"/>
      <c r="H8" s="1" t="s">
        <v>24</v>
      </c>
      <c r="I8" s="1"/>
    </row>
    <row r="9" spans="1:12">
      <c r="A9" s="17" t="s">
        <v>92</v>
      </c>
      <c r="B9" s="17"/>
      <c r="C9" s="17" t="s">
        <v>93</v>
      </c>
      <c r="D9" s="17"/>
      <c r="E9" s="17" t="s">
        <v>94</v>
      </c>
      <c r="F9" s="17"/>
      <c r="G9" s="1"/>
      <c r="H9" s="1" t="s">
        <v>23</v>
      </c>
      <c r="I9" s="1"/>
    </row>
    <row r="10" spans="1:12">
      <c r="A10" s="17" t="s">
        <v>95</v>
      </c>
      <c r="B10" s="17"/>
      <c r="C10" s="17"/>
      <c r="D10" s="17"/>
      <c r="E10" s="17"/>
      <c r="F10" s="17"/>
      <c r="G10" s="1"/>
      <c r="H10" s="1" t="s">
        <v>24</v>
      </c>
      <c r="I10" s="1"/>
    </row>
    <row r="11" spans="1:12">
      <c r="A11" s="17" t="s">
        <v>96</v>
      </c>
      <c r="B11" s="17" t="s">
        <v>97</v>
      </c>
      <c r="C11" s="17" t="s">
        <v>98</v>
      </c>
      <c r="D11" s="17"/>
      <c r="E11" s="17" t="s">
        <v>99</v>
      </c>
      <c r="F11" s="17"/>
      <c r="G11" s="1" t="s">
        <v>100</v>
      </c>
      <c r="H11" s="1" t="s">
        <v>16</v>
      </c>
      <c r="I11" s="1"/>
    </row>
    <row r="12" spans="1:12">
      <c r="A12" s="17" t="s">
        <v>101</v>
      </c>
      <c r="B12" s="17" t="s">
        <v>102</v>
      </c>
      <c r="C12" s="17" t="s">
        <v>103</v>
      </c>
      <c r="D12" s="17"/>
      <c r="E12" s="17"/>
      <c r="F12" s="17"/>
      <c r="G12" s="1" t="s">
        <v>104</v>
      </c>
      <c r="H12" s="1" t="s">
        <v>105</v>
      </c>
      <c r="I12" s="1"/>
    </row>
    <row r="13" spans="1:12">
      <c r="A13" s="17"/>
      <c r="B13" s="17"/>
      <c r="C13" s="17" t="s">
        <v>106</v>
      </c>
      <c r="D13" s="17"/>
      <c r="E13" s="17"/>
      <c r="F13" s="17"/>
      <c r="G13" s="1"/>
      <c r="H13" s="1"/>
      <c r="I13" s="1"/>
    </row>
    <row r="14" spans="1:12">
      <c r="A14" s="17"/>
      <c r="B14" s="17"/>
      <c r="C14" s="17"/>
      <c r="D14" s="17"/>
      <c r="E14" s="17" t="s">
        <v>107</v>
      </c>
      <c r="F14" s="17"/>
      <c r="G14" s="1"/>
      <c r="H14" s="1"/>
      <c r="I14" s="1"/>
    </row>
    <row r="15" spans="1:12">
      <c r="A15" s="17"/>
      <c r="B15" s="17" t="s">
        <v>108</v>
      </c>
      <c r="C15" s="17"/>
      <c r="D15" s="17"/>
      <c r="E15" s="17" t="s">
        <v>109</v>
      </c>
      <c r="F15" s="17"/>
      <c r="G15" s="1"/>
      <c r="H15" s="1"/>
      <c r="I15" s="1" t="s">
        <v>110</v>
      </c>
    </row>
    <row r="16" spans="1:12">
      <c r="A16" s="17"/>
      <c r="B16" s="17" t="s">
        <v>111</v>
      </c>
      <c r="C16" s="17"/>
      <c r="D16" s="17"/>
      <c r="E16" s="17"/>
      <c r="F16" s="17"/>
      <c r="G16" s="1"/>
      <c r="H16" s="1"/>
      <c r="I16" s="1" t="s">
        <v>112</v>
      </c>
    </row>
    <row r="17" spans="1:11">
      <c r="A17" s="17" t="s">
        <v>113</v>
      </c>
      <c r="B17" s="17" t="s">
        <v>114</v>
      </c>
      <c r="C17" s="17" t="s">
        <v>115</v>
      </c>
      <c r="D17" s="17"/>
      <c r="E17" s="17"/>
      <c r="F17" s="17"/>
      <c r="G17" s="1"/>
      <c r="H17" s="1"/>
      <c r="I17" s="1"/>
    </row>
    <row r="18" spans="1:11">
      <c r="A18" s="17"/>
      <c r="B18" s="17"/>
      <c r="C18" s="17"/>
      <c r="D18" s="17" t="s">
        <v>116</v>
      </c>
      <c r="E18" s="17"/>
      <c r="F18" s="17"/>
      <c r="G18" s="1"/>
      <c r="H18" s="1"/>
      <c r="I18" s="1"/>
    </row>
    <row r="19" spans="1:11">
      <c r="A19" s="17"/>
      <c r="B19" s="17" t="s">
        <v>117</v>
      </c>
      <c r="C19" s="17"/>
      <c r="D19" s="17" t="s">
        <v>12</v>
      </c>
      <c r="E19" s="17"/>
      <c r="F19" s="17"/>
      <c r="G19" s="1"/>
      <c r="H19" s="1"/>
      <c r="I19" s="1"/>
    </row>
    <row r="20" spans="1:11">
      <c r="A20" s="17" t="s">
        <v>4</v>
      </c>
      <c r="B20" s="17" t="s">
        <v>4</v>
      </c>
      <c r="C20" s="17" t="s">
        <v>118</v>
      </c>
      <c r="D20" s="17" t="s">
        <v>4</v>
      </c>
      <c r="E20" s="17"/>
      <c r="F20" s="17"/>
      <c r="G20" s="1"/>
      <c r="H20" s="1"/>
      <c r="I20" s="1"/>
    </row>
    <row r="22" spans="1:11" ht="14.65" thickBot="1">
      <c r="A22" s="12" t="s">
        <v>119</v>
      </c>
      <c r="B22" s="19"/>
      <c r="C22" s="19"/>
      <c r="D22" s="19"/>
      <c r="E22" s="19"/>
      <c r="F22" s="19"/>
      <c r="G22" s="12" t="s">
        <v>120</v>
      </c>
      <c r="H22" s="20" t="s">
        <v>121</v>
      </c>
      <c r="I22" s="20" t="s">
        <v>75</v>
      </c>
      <c r="J22" s="20" t="s">
        <v>122</v>
      </c>
      <c r="K22" s="20" t="s">
        <v>123</v>
      </c>
    </row>
    <row r="23" spans="1:11" ht="14.65" thickTop="1">
      <c r="A23" s="17" t="s">
        <v>124</v>
      </c>
      <c r="G23" s="2" t="s">
        <v>125</v>
      </c>
      <c r="H23" t="s">
        <v>126</v>
      </c>
      <c r="I23" s="18" t="s">
        <v>127</v>
      </c>
      <c r="K23" t="str">
        <f>IF(J23="",I23&amp;"-"&amp;Voorstel!$G$21&amp;'termen status-bewerkingen'!J23&amp;Voorstel!$G$22,I23&amp;"-"&amp;Voorstel!$G$21&amp;"-"&amp;'termen status-bewerkingen'!J23&amp;Voorstel!$G$22)</f>
        <v>RVL-OI-KL-ET_MS_DISTRIBUTIE_6 kV_3x95Cu-G</v>
      </c>
    </row>
    <row r="24" spans="1:11">
      <c r="A24" s="17" t="s">
        <v>128</v>
      </c>
      <c r="G24" s="2" t="s">
        <v>129</v>
      </c>
      <c r="H24" t="s">
        <v>130</v>
      </c>
      <c r="I24" s="21" t="s">
        <v>5</v>
      </c>
      <c r="K24" t="str">
        <f>IF(J24="",I24&amp;"-"&amp;Voorstel!$G$21&amp;'termen status-bewerkingen'!J24&amp;Voorstel!$G$22,I24&amp;"-"&amp;Voorstel!$G$21&amp;"-"&amp;'termen status-bewerkingen'!J24&amp;Voorstel!$G$22)</f>
        <v>N-OI-KL-ET_MS_DISTRIBUTIE_6 kV_3x95Cu-G</v>
      </c>
    </row>
    <row r="25" spans="1:11">
      <c r="A25" s="17" t="s">
        <v>131</v>
      </c>
      <c r="G25" s="2" t="s">
        <v>132</v>
      </c>
      <c r="H25" t="s">
        <v>133</v>
      </c>
      <c r="I25" s="21" t="s">
        <v>3</v>
      </c>
      <c r="J25" s="21" t="s">
        <v>16</v>
      </c>
      <c r="K25" t="str">
        <f>IF(J25="",I25&amp;"-"&amp;Voorstel!$G$21&amp;'termen status-bewerkingen'!J25&amp;Voorstel!$G$22,I25&amp;"-"&amp;Voorstel!$G$21&amp;"-"&amp;'termen status-bewerkingen'!J25&amp;Voorstel!$G$22)</f>
        <v>B-OI-KL-ET_MS_DISTRIBUTIE_6 kV_3x95Cu-VERLATEN-G</v>
      </c>
    </row>
    <row r="26" spans="1:11">
      <c r="A26" s="17" t="s">
        <v>134</v>
      </c>
      <c r="G26" s="2" t="s">
        <v>135</v>
      </c>
      <c r="H26" t="s">
        <v>136</v>
      </c>
      <c r="I26" s="21" t="s">
        <v>3</v>
      </c>
      <c r="J26" s="21" t="s">
        <v>24</v>
      </c>
      <c r="K26" t="str">
        <f>IF(J26="",I26&amp;"-"&amp;Voorstel!$G$21&amp;'termen status-bewerkingen'!J26&amp;Voorstel!$G$22,I26&amp;"-"&amp;Voorstel!$G$21&amp;"-"&amp;'termen status-bewerkingen'!J26&amp;Voorstel!$G$22)</f>
        <v>B-OI-KL-ET_MS_DISTRIBUTIE_6 kV_3x95Cu-VERPLAATSEN-G</v>
      </c>
    </row>
    <row r="27" spans="1:11">
      <c r="A27" s="17" t="s">
        <v>137</v>
      </c>
      <c r="G27" s="2" t="s">
        <v>138</v>
      </c>
      <c r="H27" t="s">
        <v>139</v>
      </c>
      <c r="I27" s="18" t="s">
        <v>3</v>
      </c>
      <c r="J27" s="18" t="s">
        <v>140</v>
      </c>
      <c r="K27" t="str">
        <f>IF(J27="",I27&amp;"-"&amp;Voorstel!$G$21&amp;'termen status-bewerkingen'!J27&amp;Voorstel!$G$22,I27&amp;"-"&amp;Voorstel!$G$21&amp;"-"&amp;'termen status-bewerkingen'!J27&amp;Voorstel!$G$22)</f>
        <v>B-OI-KL-ET_MS_DISTRIBUTIE_6 kV_3x95Cu-VERVANGEN-G</v>
      </c>
    </row>
    <row r="28" spans="1:11">
      <c r="A28" s="17" t="s">
        <v>141</v>
      </c>
      <c r="G28" s="2" t="s">
        <v>142</v>
      </c>
      <c r="H28" t="s">
        <v>143</v>
      </c>
      <c r="I28" s="18" t="s">
        <v>11</v>
      </c>
      <c r="J28" s="18" t="s">
        <v>144</v>
      </c>
      <c r="K28" t="str">
        <f>IF(J28="",I28&amp;"-"&amp;Voorstel!$G$21&amp;'termen status-bewerkingen'!J28&amp;Voorstel!$G$22,I28&amp;"-"&amp;Voorstel!$G$21&amp;"-"&amp;'termen status-bewerkingen'!J28&amp;Voorstel!$G$22)</f>
        <v>V-OI-KL-ET_MS_DISTRIBUTIE_6 kV_3x95Cu-VERWIJDEREN-G</v>
      </c>
    </row>
    <row r="29" spans="1:11">
      <c r="A29" s="17" t="s">
        <v>145</v>
      </c>
      <c r="G29" s="2" t="s">
        <v>146</v>
      </c>
      <c r="H29" t="s">
        <v>147</v>
      </c>
      <c r="I29" s="21" t="s">
        <v>3</v>
      </c>
      <c r="K29" t="str">
        <f>IF(J29="",I29&amp;"-"&amp;Voorstel!$G$21&amp;'termen status-bewerkingen'!J29&amp;Voorstel!$G$22,I29&amp;"-"&amp;Voorstel!$G$21&amp;"-"&amp;'termen status-bewerkingen'!J29&amp;Voorstel!$G$22)</f>
        <v>B-OI-KL-ET_MS_DISTRIBUTIE_6 kV_3x95Cu-G</v>
      </c>
    </row>
    <row r="30" spans="1:11">
      <c r="A30" s="17" t="s">
        <v>148</v>
      </c>
      <c r="G30" s="2" t="s">
        <v>149</v>
      </c>
      <c r="H30" t="s">
        <v>150</v>
      </c>
      <c r="I30" s="21" t="s">
        <v>151</v>
      </c>
      <c r="K30" t="str">
        <f>IF(J30="",I30&amp;"-"&amp;Voorstel!$G$21&amp;'termen status-bewerkingen'!J30&amp;Voorstel!$G$22,I30&amp;"-"&amp;Voorstel!$G$21&amp;"-"&amp;'termen status-bewerkingen'!J30&amp;Voorstel!$G$22)</f>
        <v>BVL-OI-KL-ET_MS_DISTRIBUTIE_6 kV_3x95Cu-G</v>
      </c>
    </row>
    <row r="31" spans="1:11">
      <c r="A31" s="17" t="s">
        <v>12</v>
      </c>
      <c r="G31" s="2" t="s">
        <v>152</v>
      </c>
      <c r="H31" t="s">
        <v>153</v>
      </c>
      <c r="I31" s="18" t="s">
        <v>154</v>
      </c>
      <c r="K31" t="str">
        <f>IF(J31="",I31&amp;"-"&amp;Voorstel!$G$21&amp;'termen status-bewerkingen'!J31&amp;Voorstel!$G$22,I31&amp;"-"&amp;Voorstel!$G$21&amp;"-"&amp;'termen status-bewerkingen'!J31&amp;Voorstel!$G$22)</f>
        <v>VVL-OI-KL-ET_MS_DISTRIBUTIE_6 kV_3x95Cu-G</v>
      </c>
    </row>
  </sheetData>
  <pageMargins left="0.7" right="0.7" top="0.75" bottom="0.75" header="0.3" footer="0.3"/>
  <pageSetup paperSize="9" orientation="portrait"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A9C3AD-AFFB-40DA-82E0-D5AD93D88967}">
  <dimension ref="A1:H23"/>
  <sheetViews>
    <sheetView zoomScale="115" zoomScaleNormal="115" workbookViewId="0">
      <selection activeCell="A14" sqref="A14:A21"/>
    </sheetView>
  </sheetViews>
  <sheetFormatPr defaultColWidth="8.85546875" defaultRowHeight="12.4"/>
  <cols>
    <col min="1" max="1" width="7.85546875" style="31" customWidth="1"/>
    <col min="2" max="2" width="17.42578125" style="31" bestFit="1" customWidth="1"/>
    <col min="3" max="3" width="20.42578125" style="31" bestFit="1" customWidth="1"/>
    <col min="4" max="4" width="74.28515625" style="34" customWidth="1"/>
    <col min="5" max="5" width="5.7109375" style="31" customWidth="1"/>
    <col min="6" max="6" width="14.5703125" style="31" customWidth="1"/>
    <col min="7" max="7" width="17.140625" style="31" customWidth="1"/>
    <col min="8" max="8" width="41.7109375" style="34" customWidth="1"/>
    <col min="9" max="16384" width="8.85546875" style="31"/>
  </cols>
  <sheetData>
    <row r="1" spans="1:8" ht="24.6">
      <c r="A1" s="22" t="s">
        <v>75</v>
      </c>
      <c r="B1" s="36" t="s">
        <v>155</v>
      </c>
      <c r="C1" s="35" t="s">
        <v>156</v>
      </c>
      <c r="D1" s="23" t="s">
        <v>157</v>
      </c>
    </row>
    <row r="2" spans="1:8">
      <c r="A2" s="24" t="s">
        <v>3</v>
      </c>
      <c r="B2" s="25" t="s">
        <v>158</v>
      </c>
      <c r="C2" s="26" t="s">
        <v>159</v>
      </c>
      <c r="D2" s="32" t="s">
        <v>160</v>
      </c>
    </row>
    <row r="3" spans="1:8" ht="24.6">
      <c r="A3" s="24"/>
      <c r="B3" s="25" t="s">
        <v>17</v>
      </c>
      <c r="C3" s="26" t="s">
        <v>159</v>
      </c>
      <c r="D3" s="32" t="s">
        <v>161</v>
      </c>
    </row>
    <row r="4" spans="1:8" ht="24.6">
      <c r="A4" s="24"/>
      <c r="B4" s="25" t="s">
        <v>16</v>
      </c>
      <c r="C4" s="26" t="s">
        <v>159</v>
      </c>
      <c r="D4" s="32" t="s">
        <v>162</v>
      </c>
    </row>
    <row r="5" spans="1:8">
      <c r="A5" s="24" t="s">
        <v>5</v>
      </c>
      <c r="B5" s="25" t="s">
        <v>158</v>
      </c>
      <c r="C5" s="26" t="s">
        <v>163</v>
      </c>
      <c r="D5" s="32" t="s">
        <v>164</v>
      </c>
    </row>
    <row r="6" spans="1:8" ht="24.6">
      <c r="A6" s="24"/>
      <c r="B6" s="25" t="s">
        <v>17</v>
      </c>
      <c r="C6" s="26" t="s">
        <v>163</v>
      </c>
      <c r="D6" s="32" t="s">
        <v>165</v>
      </c>
    </row>
    <row r="7" spans="1:8">
      <c r="A7" s="24" t="s">
        <v>8</v>
      </c>
      <c r="B7" s="25" t="s">
        <v>158</v>
      </c>
      <c r="C7" s="26" t="s">
        <v>166</v>
      </c>
      <c r="D7" s="32" t="s">
        <v>167</v>
      </c>
    </row>
    <row r="8" spans="1:8" ht="24.6">
      <c r="A8" s="27" t="s">
        <v>8</v>
      </c>
      <c r="B8" s="25" t="s">
        <v>16</v>
      </c>
      <c r="C8" s="26" t="s">
        <v>166</v>
      </c>
      <c r="D8" s="32" t="s">
        <v>168</v>
      </c>
    </row>
    <row r="9" spans="1:8" ht="24.6">
      <c r="A9" s="27" t="s">
        <v>8</v>
      </c>
      <c r="B9" s="25" t="s">
        <v>17</v>
      </c>
      <c r="C9" s="26" t="s">
        <v>166</v>
      </c>
      <c r="D9" s="32" t="s">
        <v>169</v>
      </c>
    </row>
    <row r="10" spans="1:8" ht="36.950000000000003">
      <c r="A10" s="24" t="s">
        <v>10</v>
      </c>
      <c r="B10" s="25" t="s">
        <v>158</v>
      </c>
      <c r="C10" s="26" t="s">
        <v>170</v>
      </c>
      <c r="D10" s="32" t="s">
        <v>171</v>
      </c>
    </row>
    <row r="11" spans="1:8" ht="49.15">
      <c r="A11" s="92" t="s">
        <v>10</v>
      </c>
      <c r="B11" s="93" t="s">
        <v>17</v>
      </c>
      <c r="C11" s="94" t="s">
        <v>170</v>
      </c>
      <c r="D11" s="95" t="s">
        <v>172</v>
      </c>
      <c r="E11" s="91"/>
      <c r="F11" s="91"/>
      <c r="G11" s="91"/>
      <c r="H11" s="96"/>
    </row>
    <row r="12" spans="1:8" ht="24.95" thickBot="1">
      <c r="A12" s="28" t="s">
        <v>11</v>
      </c>
      <c r="B12" s="29"/>
      <c r="C12" s="30" t="s">
        <v>173</v>
      </c>
      <c r="D12" s="33" t="s">
        <v>174</v>
      </c>
    </row>
    <row r="13" spans="1:8" ht="12.6" thickBot="1"/>
    <row r="14" spans="1:8">
      <c r="C14" s="22" t="s">
        <v>40</v>
      </c>
      <c r="D14" s="23" t="s">
        <v>157</v>
      </c>
    </row>
    <row r="15" spans="1:8" ht="49.15">
      <c r="C15" s="24" t="s">
        <v>21</v>
      </c>
      <c r="D15" s="32" t="s">
        <v>175</v>
      </c>
      <c r="G15" s="91"/>
    </row>
    <row r="16" spans="1:8" ht="24.6">
      <c r="C16" s="24" t="s">
        <v>19</v>
      </c>
      <c r="D16" s="32" t="s">
        <v>176</v>
      </c>
      <c r="G16" s="91"/>
    </row>
    <row r="17" spans="3:7" ht="61.5">
      <c r="C17" s="24" t="s">
        <v>20</v>
      </c>
      <c r="D17" s="32" t="s">
        <v>177</v>
      </c>
      <c r="G17" s="91"/>
    </row>
    <row r="18" spans="3:7" ht="24.6">
      <c r="C18" s="24" t="s">
        <v>22</v>
      </c>
      <c r="D18" s="32" t="s">
        <v>178</v>
      </c>
      <c r="G18" s="91"/>
    </row>
    <row r="19" spans="3:7" ht="36.950000000000003">
      <c r="C19" s="24" t="s">
        <v>23</v>
      </c>
      <c r="D19" s="32" t="s">
        <v>179</v>
      </c>
      <c r="G19" s="91"/>
    </row>
    <row r="20" spans="3:7" ht="24.6">
      <c r="C20" s="24" t="s">
        <v>24</v>
      </c>
      <c r="D20" s="32" t="s">
        <v>180</v>
      </c>
      <c r="G20" s="91"/>
    </row>
    <row r="21" spans="3:7" ht="24.6">
      <c r="C21" s="24" t="s">
        <v>25</v>
      </c>
      <c r="D21" s="32" t="s">
        <v>181</v>
      </c>
      <c r="G21" s="91"/>
    </row>
    <row r="23" spans="3:7">
      <c r="G23" s="91"/>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6595A45F4597614280CCFE4BA289EC42" ma:contentTypeVersion="11" ma:contentTypeDescription="Een nieuw document maken." ma:contentTypeScope="" ma:versionID="1467ab82169d20b64ec1e40876992fb2">
  <xsd:schema xmlns:xsd="http://www.w3.org/2001/XMLSchema" xmlns:xs="http://www.w3.org/2001/XMLSchema" xmlns:p="http://schemas.microsoft.com/office/2006/metadata/properties" xmlns:ns2="abcf6ded-e1e6-4879-859a-95bb17657aaf" xmlns:ns3="046bc024-780c-48f4-850a-ff8a778c097e" targetNamespace="http://schemas.microsoft.com/office/2006/metadata/properties" ma:root="true" ma:fieldsID="37d7a01d8feb232bb0cf2b281bf7eeb0" ns2:_="" ns3:_="">
    <xsd:import namespace="abcf6ded-e1e6-4879-859a-95bb17657aaf"/>
    <xsd:import namespace="046bc024-780c-48f4-850a-ff8a778c097e"/>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ObjectDetectorVersions" minOccurs="0"/>
                <xsd:element ref="ns2:MediaServiceGenerationTime" minOccurs="0"/>
                <xsd:element ref="ns2:MediaServiceEventHashCode" minOccurs="0"/>
                <xsd:element ref="ns2:MediaLengthInSeconds" minOccurs="0"/>
                <xsd:element ref="ns2:lcf76f155ced4ddcb4097134ff3c332f" minOccurs="0"/>
                <xsd:element ref="ns3:TaxCatchAll"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bcf6ded-e1e6-4879-859a-95bb17657aa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lcf76f155ced4ddcb4097134ff3c332f" ma:index="17" nillable="true" ma:taxonomy="true" ma:internalName="lcf76f155ced4ddcb4097134ff3c332f" ma:taxonomyFieldName="MediaServiceImageTags" ma:displayName="Afbeeldingtags" ma:readOnly="false" ma:fieldId="{5cf76f15-5ced-4ddc-b409-7134ff3c332f}" ma:taxonomyMulti="true" ma:sspId="ffc1a88e-ff28-4708-818d-a112f969d025" ma:termSetId="09814cd3-568e-fe90-9814-8d621ff8fb84" ma:anchorId="fba54fb3-c3e1-fe81-a776-ca4b69148c4d" ma:open="tru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046bc024-780c-48f4-850a-ff8a778c097e"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31ad6ebb-0477-413d-b4e6-2e102a69b8cb}" ma:internalName="TaxCatchAll" ma:showField="CatchAllData" ma:web="046bc024-780c-48f4-850a-ff8a778c097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oudstype"/>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abcf6ded-e1e6-4879-859a-95bb17657aaf">
      <Terms xmlns="http://schemas.microsoft.com/office/infopath/2007/PartnerControls"/>
    </lcf76f155ced4ddcb4097134ff3c332f>
    <TaxCatchAll xmlns="046bc024-780c-48f4-850a-ff8a778c097e" xsi:nil="true"/>
  </documentManagement>
</p:properties>
</file>

<file path=customXml/itemProps1.xml><?xml version="1.0" encoding="utf-8"?>
<ds:datastoreItem xmlns:ds="http://schemas.openxmlformats.org/officeDocument/2006/customXml" ds:itemID="{66612EC1-9252-48FC-8000-F80A7060A22F}"/>
</file>

<file path=customXml/itemProps2.xml><?xml version="1.0" encoding="utf-8"?>
<ds:datastoreItem xmlns:ds="http://schemas.openxmlformats.org/officeDocument/2006/customXml" ds:itemID="{7ED1BAF8-64E8-491C-902F-EF10B64D3431}"/>
</file>

<file path=customXml/itemProps3.xml><?xml version="1.0" encoding="utf-8"?>
<ds:datastoreItem xmlns:ds="http://schemas.openxmlformats.org/officeDocument/2006/customXml" ds:itemID="{44C97916-3E7A-4A13-AABD-B11EEE5CAB4D}"/>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Frank van der Heijden</dc:creator>
  <cp:keywords/>
  <dc:description/>
  <cp:lastModifiedBy>Hoogmoed, Matthijs</cp:lastModifiedBy>
  <cp:revision/>
  <dcterms:created xsi:type="dcterms:W3CDTF">2023-08-21T07:07:59Z</dcterms:created>
  <dcterms:modified xsi:type="dcterms:W3CDTF">2025-07-21T08:40:34Z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0x0101006595A45F4597614280CCFE4BA289EC42</vt:lpwstr>
  </property>
</Properties>
</file>